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One customer" sheetId="3" state="visible" r:id="rId5"/>
    <sheet name="Sensitivity" sheetId="4" state="visible" r:id="rId6"/>
    <sheet name="Portfolio" sheetId="5" state="visible" r:id="rId7"/>
    <sheet name="AI unit economics" sheetId="6" state="visible" r:id="rId8"/>
    <sheet name="Demo check" sheetId="7" state="visible" r:id="rId9"/>
    <sheet name="Inbox rank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<sst xmlns="http://schemas.openxmlformats.org/spreadsheetml/2006/main" count="295" uniqueCount="248">
  <si>
    <t xml:space="preserve">Supplier Follow-up Agent: impact model</t>
  </si>
  <si>
    <t xml:space="preserve">Illustrative. Every input is an assumption until shadow mode measures it. Designed and directed by Rohit Kumar; built with Claude; 11 Oct 2026.</t>
  </si>
  <si>
    <t xml:space="preserve">The answer, in the likely case</t>
  </si>
  <si>
    <t xml:space="preserve">Value for one customer per year</t>
  </si>
  <si>
    <t xml:space="preserve">Value for each rupee of price</t>
  </si>
  <si>
    <t xml:space="preserve">Payback</t>
  </si>
  <si>
    <t xml:space="preserve">Share of the value from credit no longer lost</t>
  </si>
  <si>
    <t xml:space="preserve">Value in the cautious case (below the ₹2 L price)</t>
  </si>
  <si>
    <t xml:space="preserve">AI cost per supplier per cycle</t>
  </si>
  <si>
    <t xml:space="preserve">AI cost as a share of the price</t>
  </si>
  <si>
    <t xml:space="preserve">What it means</t>
  </si>
  <si>
    <t xml:space="preserve">Avoided loss carries about three quarters of the value, so the loss rate today (hypothesis H4) decides the business case.</t>
  </si>
  <si>
    <t xml:space="preserve">With every input at its cautious end at once, the agent is worth about ₹1.8 L a year, less than a ₹2 L price. No single input on its own pulls the likely case below ₹6.8 L.</t>
  </si>
  <si>
    <t xml:space="preserve">AI cost is not the constraint: well under 1% of the price even at older model prices.</t>
  </si>
  <si>
    <t xml:space="preserve">So the first two weeks of the rollout measure the loss rate before anything is built.</t>
  </si>
  <si>
    <t xml:space="preserve">Sheets</t>
  </si>
  <si>
    <t xml:space="preserve">Inputs</t>
  </si>
  <si>
    <t xml:space="preserve">Every assumption in three scenarios, with the reason and how it gets measured. Edit the blue cells.</t>
  </si>
  <si>
    <t xml:space="preserve">One customer</t>
  </si>
  <si>
    <t xml:space="preserve">Value per customer per year, price, payback and AI cost.</t>
  </si>
  <si>
    <t xml:space="preserve">Sensitivity</t>
  </si>
  <si>
    <t xml:space="preserve">Which input moves the value most, one at a time.</t>
  </si>
  <si>
    <t xml:space="preserve">Portfolio</t>
  </si>
  <si>
    <t xml:space="preserve">Value, revenue and AI cost if a number of customers adopt.</t>
  </si>
  <si>
    <t xml:space="preserve">AI unit economics</t>
  </si>
  <si>
    <t xml:space="preserve">Tokens per job, list prices and cost per supplier per cycle.</t>
  </si>
  <si>
    <t xml:space="preserve">Demo check</t>
  </si>
  <si>
    <t xml:space="preserve">The prototype's simulated cycle, with and without the recommended steps.</t>
  </si>
  <si>
    <t xml:space="preserve">Inbox ranking</t>
  </si>
  <si>
    <t xml:space="preserve">How the inbox orders suppliers, on the demo data.</t>
  </si>
  <si>
    <t xml:space="preserve">Colours</t>
  </si>
  <si>
    <t xml:space="preserve">Blue = typed input · black = formula · green = taken from another sheet · yellow = the likely case quoted in the document and slides.</t>
  </si>
  <si>
    <t xml:space="preserve">Sources</t>
  </si>
  <si>
    <t xml:space="preserve">Model prices: Anthropic pricing page, platform.claude.com/docs/en/about-claude/pricing (opened 11 Oct 2026).</t>
  </si>
  <si>
    <t xml:space="preserve">Exchange rate: Upstox currency converter, ₹96.64 per US$ on 11 Oct 2026.</t>
  </si>
  <si>
    <t xml:space="preserve">Deadline for FY 2025-26 credit: Section 16(4) of the CGST Act, 30 Nov 2026. Reversal after 180 days unpaid: Rule 37. Supplier not filing GSTR-3B: Rule 37A.</t>
  </si>
  <si>
    <t xml:space="preserve">Demo figures: the prototype, on fictional data. No customer data was used anywhere in this model.</t>
  </si>
  <si>
    <t xml:space="preserve">Blue cells are assumptions: change them and every other sheet updates. None of these has been measured yet.</t>
  </si>
  <si>
    <t xml:space="preserve">#</t>
  </si>
  <si>
    <t xml:space="preserve">Input</t>
  </si>
  <si>
    <t xml:space="preserve">Unit</t>
  </si>
  <si>
    <t xml:space="preserve">Cautious</t>
  </si>
  <si>
    <t xml:space="preserve">Likely</t>
  </si>
  <si>
    <t xml:space="preserve">Strong</t>
  </si>
  <si>
    <t xml:space="preserve">Why this value, and how it gets measured</t>
  </si>
  <si>
    <t xml:space="preserve">Flagged supplier-side credit per month</t>
  </si>
  <si>
    <t xml:space="preserve">₹</t>
  </si>
  <si>
    <t xml:space="preserve">Assumption for a mid-size buyer with several GSTINs. The demo company has ₹23.4 L flagged across 16 suppliers. Measured from reco results in shadow mode.</t>
  </si>
  <si>
    <t xml:space="preserve">Share of flagged credit lost for good today</t>
  </si>
  <si>
    <t xml:space="preserve">%</t>
  </si>
  <si>
    <t xml:space="preserve">Hypothesis H4: credit lost when last year's invoices miss the 30 Nov deadline (Section 16(4)) or suppliers never file (Rule 37A). No public data. The first number shadow mode measures; below 3% the case weakens.</t>
  </si>
  <si>
    <t xml:space="preserve">Share lost with the agent</t>
  </si>
  <si>
    <t xml:space="preserve">Some suppliers never file whatever we do (closed, in distress), so loss does not reach zero.</t>
  </si>
  <si>
    <t xml:space="preserve">Share fixed within one filing cycle today</t>
  </si>
  <si>
    <t xml:space="preserve">Assumption: manual chasing with promises tracked in spreadsheets. Measured in shadow mode.</t>
  </si>
  <si>
    <t xml:space="preserve">Share fixed within one filing cycle with the agent</t>
  </si>
  <si>
    <t xml:space="preserve">First message the day the reco job flags, reminders timed before the 11th, broken promises caught on the 12th. Pilot KR1 targets 70%.</t>
  </si>
  <si>
    <t xml:space="preserve">Days sooner for credit that moves into the first cycle</t>
  </si>
  <si>
    <t xml:space="preserve">days</t>
  </si>
  <si>
    <t xml:space="preserve">A missed cycle costs about a month; credit that slips usually slips two cycles.</t>
  </si>
  <si>
    <t xml:space="preserve">Cost of capital</t>
  </si>
  <si>
    <t xml:space="preserve">% a year</t>
  </si>
  <si>
    <t xml:space="preserve">Working-capital rate for a mid-size Indian manufacturer (assumption).</t>
  </si>
  <si>
    <t xml:space="preserve">Suppliers followed up per month</t>
  </si>
  <si>
    <t xml:space="preserve">count</t>
  </si>
  <si>
    <t xml:space="preserve">Assumption. The demo has 16 suppliers open on one day.</t>
  </si>
  <si>
    <t xml:space="preserve">Minutes per supplier per cycle today</t>
  </si>
  <si>
    <t xml:space="preserve">minutes</t>
  </si>
  <si>
    <t xml:space="preserve">Reading replies, chasing, updating the tracker (assumption; hypothesis H1 asks this in interviews).</t>
  </si>
  <si>
    <t xml:space="preserve">Minutes per supplier per cycle with the agent</t>
  </si>
  <si>
    <t xml:space="preserve">Checking readings and approving drafts. Pilot KR3 targets under 15.</t>
  </si>
  <si>
    <t xml:space="preserve">Loaded cost of one GST team hour</t>
  </si>
  <si>
    <t xml:space="preserve">Assumption.</t>
  </si>
  <si>
    <t xml:space="preserve">Price per customer per year</t>
  </si>
  <si>
    <t xml:space="preserve">Placeholder for a paid add-on. Pricing is an open question (per GSTIN, per supplier, or a share of credit recovered).</t>
  </si>
  <si>
    <t xml:space="preserve">Customers adopting (portfolio view)</t>
  </si>
  <si>
    <t xml:space="preserve">Assumption for illustration, not Masters India data.</t>
  </si>
  <si>
    <t xml:space="preserve">Scenarios: Cautious sets every input at the low-value end at once, Strong at the high end. The Sensitivity sheet moves one input at a time.</t>
  </si>
  <si>
    <t xml:space="preserve">Yellow = the likely case used in the document and slides. Blue = typed input; black = formula; green = taken from another sheet.</t>
  </si>
  <si>
    <t xml:space="preserve">Value for one customer, per year</t>
  </si>
  <si>
    <t xml:space="preserve">What the agent is worth to one mid-size buyer, and what it costs to run. Every number is a formula on the Inputs sheet.</t>
  </si>
  <si>
    <t xml:space="preserve">Line</t>
  </si>
  <si>
    <t xml:space="preserve">How it is calculated</t>
  </si>
  <si>
    <t xml:space="preserve">Flagged supplier-side credit per year</t>
  </si>
  <si>
    <t xml:space="preserve">Flagged per month × 12</t>
  </si>
  <si>
    <t xml:space="preserve">Credit no longer lost for good</t>
  </si>
  <si>
    <t xml:space="preserve">Flagged × (share lost today − share lost with the agent)</t>
  </si>
  <si>
    <t xml:space="preserve">Credit now fixed within the first cycle</t>
  </si>
  <si>
    <t xml:space="preserve">Flagged × (share fixed in one cycle with the agent − today)</t>
  </si>
  <si>
    <t xml:space="preserve">Value of receiving that credit sooner</t>
  </si>
  <si>
    <t xml:space="preserve">Credit fixed sooner × cost of capital × days sooner ÷ 365</t>
  </si>
  <si>
    <t xml:space="preserve">GST team hours saved</t>
  </si>
  <si>
    <t xml:space="preserve">Suppliers per month × 12 × minutes saved ÷ 60</t>
  </si>
  <si>
    <t xml:space="preserve">Value of time saved</t>
  </si>
  <si>
    <t xml:space="preserve">Hours saved × loaded cost of an hour</t>
  </si>
  <si>
    <t xml:space="preserve">Total value per customer per year</t>
  </si>
  <si>
    <t xml:space="preserve">Credit no longer lost + value of getting it sooner + value of time saved</t>
  </si>
  <si>
    <t xml:space="preserve">Total value, in lakh</t>
  </si>
  <si>
    <t xml:space="preserve">Total ÷ 1,00,000</t>
  </si>
  <si>
    <t xml:space="preserve">Share of the value that comes from avoided loss</t>
  </si>
  <si>
    <t xml:space="preserve">Credit no longer lost ÷ total value</t>
  </si>
  <si>
    <t xml:space="preserve">From Inputs</t>
  </si>
  <si>
    <t xml:space="preserve">Total value ÷ price</t>
  </si>
  <si>
    <t xml:space="preserve">Price ÷ monthly value</t>
  </si>
  <si>
    <t xml:space="preserve">AI cost to run, per customer per year</t>
  </si>
  <si>
    <t xml:space="preserve">Cautious uses the high-cost AI case; Likely and Strong use the likely case</t>
  </si>
  <si>
    <t xml:space="preserve">AI cost ÷ price</t>
  </si>
  <si>
    <t xml:space="preserve">Reading it: avoided loss carries most of the value, so the loss rate today (hypothesis H4) decides the case. In the cautious case the agent is worth less than its price.</t>
  </si>
  <si>
    <t xml:space="preserve">Credit received sooner is valued only for the time gained (cost of capital), not counted as new money.</t>
  </si>
  <si>
    <t xml:space="preserve">What moves the value most</t>
  </si>
  <si>
    <t xml:space="preserve">Total value per customer per year with one input moved to its cautious or strong value and every other input at likely.</t>
  </si>
  <si>
    <t xml:space="preserve">Input moved</t>
  </si>
  <si>
    <t xml:space="preserve">Value at cautious</t>
  </si>
  <si>
    <t xml:space="preserve">Value at strong</t>
  </si>
  <si>
    <t xml:space="preserve">Swing</t>
  </si>
  <si>
    <t xml:space="preserve">Cautious → strong value of the input</t>
  </si>
  <si>
    <t xml:space="preserve">Likely total, for reference</t>
  </si>
  <si>
    <t xml:space="preserve">Rows are sorted by swing as built; if you change the inputs, re-sort by the Swing column.</t>
  </si>
  <si>
    <t xml:space="preserve">Portfolio view</t>
  </si>
  <si>
    <t xml:space="preserve">If a number of customers adopt it: value created for them, revenue, and AI cost. Illustration only; adoption is an assumption.</t>
  </si>
  <si>
    <t xml:space="preserve">Customers adopting</t>
  </si>
  <si>
    <t xml:space="preserve">From Inputs (assumption)</t>
  </si>
  <si>
    <t xml:space="preserve">Value created for customers per year</t>
  </si>
  <si>
    <t xml:space="preserve">Customers × value per customer</t>
  </si>
  <si>
    <t xml:space="preserve">Revenue per year</t>
  </si>
  <si>
    <t xml:space="preserve">Customers × price</t>
  </si>
  <si>
    <t xml:space="preserve">Revenue per year, in crore</t>
  </si>
  <si>
    <t xml:space="preserve">Revenue ÷ 1,00,00,000</t>
  </si>
  <si>
    <t xml:space="preserve">AI cost per year</t>
  </si>
  <si>
    <t xml:space="preserve">Customers × AI cost per customer</t>
  </si>
  <si>
    <t xml:space="preserve">AI cost as a share of revenue</t>
  </si>
  <si>
    <t xml:space="preserve">AI cost ÷ revenue</t>
  </si>
  <si>
    <t xml:space="preserve">Scenario columns compound: the cautious column has cautious adoption and cautious value per customer.</t>
  </si>
  <si>
    <t xml:space="preserve">What the AI costs per reply, per supplier per cycle and per customer per year, at list prices on 11 Oct 2026.</t>
  </si>
  <si>
    <t xml:space="preserve">Model</t>
  </si>
  <si>
    <t xml:space="preserve">Input (US$ per million tokens)</t>
  </si>
  <si>
    <t xml:space="preserve">Output (US$ per million tokens)</t>
  </si>
  <si>
    <t xml:space="preserve">Role</t>
  </si>
  <si>
    <t xml:space="preserve">Claude Haiku 5.5</t>
  </si>
  <si>
    <t xml:space="preserve">Runs every job (likely case)</t>
  </si>
  <si>
    <t xml:space="preserve">Claude Sonnet 5.5</t>
  </si>
  <si>
    <t xml:space="preserve">Retry after a failed check (likely case)</t>
  </si>
  <si>
    <t xml:space="preserve">Claude Haiku 4.5</t>
  </si>
  <si>
    <t xml:space="preserve">Older quick model: the high-cost case</t>
  </si>
  <si>
    <t xml:space="preserve">Claude Sonnet 4.5</t>
  </si>
  <si>
    <t xml:space="preserve">Retry in the high-cost case</t>
  </si>
  <si>
    <t xml:space="preserve">Source: Anthropic pricing page (platform.claude.com/docs/en/about-claude/pricing), opened 11 Oct 2026; Haiku 5.5 price for prompts up to 100,000 tokens.</t>
  </si>
  <si>
    <t xml:space="preserve">Rupees per US dollar</t>
  </si>
  <si>
    <t xml:space="preserve">Mid-market rate ₹96.64 on 11 Oct 2026 (Upstox currency converter), rounded up.</t>
  </si>
  <si>
    <t xml:space="preserve">Share of calls retried on the larger model</t>
  </si>
  <si>
    <t xml:space="preserve">Assumption. No reading failed its checks in the 40-reply blind test, so 1 in 10 is cautious.</t>
  </si>
  <si>
    <t xml:space="preserve">Job</t>
  </si>
  <si>
    <t xml:space="preserve">Input tokens per call</t>
  </si>
  <si>
    <t xml:space="preserve">Output tokens per call</t>
  </si>
  <si>
    <t xml:space="preserve">Calls per supplier per cycle</t>
  </si>
  <si>
    <t xml:space="preserve">Input tokens per cycle</t>
  </si>
  <si>
    <t xml:space="preserve">Output tokens per cycle</t>
  </si>
  <si>
    <t xml:space="preserve">Read a reply</t>
  </si>
  <si>
    <t xml:space="preserve">Draft a message</t>
  </si>
  <si>
    <t xml:space="preserve">Summarise the supplier</t>
  </si>
  <si>
    <t xml:space="preserve">Answer a question</t>
  </si>
  <si>
    <t xml:space="preserve">Total per supplier per cycle</t>
  </si>
  <si>
    <t xml:space="preserve">Tokens estimated as characters ÷ 3 from the prototype's real prompts and recorded outputs (mixed English and Indian languages). Calls per cycle: first message, reminder and follow-up; two replies; three summary refreshes; one question.</t>
  </si>
  <si>
    <t xml:space="preserve">Result</t>
  </si>
  <si>
    <t xml:space="preserve">Likely (Haiku 5.5, retries on Sonnet 5.5)</t>
  </si>
  <si>
    <t xml:space="preserve">High cost (Haiku 4.5, retries on Sonnet 4.5)</t>
  </si>
  <si>
    <t xml:space="preserve">Cost of reading one reply, no retry (₹)</t>
  </si>
  <si>
    <t xml:space="preserve">Tokens × price ÷ 1,000,000 × rupees per dollar</t>
  </si>
  <si>
    <t xml:space="preserve">Cost per supplier per cycle (₹)</t>
  </si>
  <si>
    <t xml:space="preserve">All calls on the quick model, plus the retried share again on the larger model</t>
  </si>
  <si>
    <t xml:space="preserve">Suppliers followed up per year (likely)</t>
  </si>
  <si>
    <t xml:space="preserve">Suppliers per month × 12</t>
  </si>
  <si>
    <t xml:space="preserve">AI cost per customer per year (₹)</t>
  </si>
  <si>
    <t xml:space="preserve">Cost per supplier-cycle × suppliers per year</t>
  </si>
  <si>
    <t xml:space="preserve">AI cost ÷ price per customer per year</t>
  </si>
  <si>
    <t xml:space="preserve">Demo check: the prototype's simulated cycle</t>
  </si>
  <si>
    <t xml:space="preserve">Kestrel Auto Components (fictional), 15 Oct to 14 Nov 2026, as the prototype computes it. This sheet does not feed the model.</t>
  </si>
  <si>
    <t xml:space="preserve">On 14 Nov 2026</t>
  </si>
  <si>
    <t xml:space="preserve">Recommended steps taken on 15 Oct</t>
  </si>
  <si>
    <t xml:space="preserve">Nothing done</t>
  </si>
  <si>
    <t xml:space="preserve">Note</t>
  </si>
  <si>
    <t xml:space="preserve">Flagged</t>
  </si>
  <si>
    <t xml:space="preserve">29 invoices, 16 suppliers</t>
  </si>
  <si>
    <t xml:space="preserve">Recovered (in GSTR-2B)</t>
  </si>
  <si>
    <t xml:space="preserve">Includes ₹52,200 already in the September GSTR-2B</t>
  </si>
  <si>
    <t xml:space="preserve">Lost for good (FY 2025-26, missed 30 Nov)</t>
  </si>
  <si>
    <t xml:space="preserve">Nova ₹4,00,500, Vega ₹1,24,200, Rathi ₹1,00,800</t>
  </si>
  <si>
    <t xml:space="preserve">Still open</t>
  </si>
  <si>
    <t xml:space="preserve">With action: GreenLeaf ₹86,400 promised for December; Krishna ₹3,600 broken promise</t>
  </si>
  <si>
    <t xml:space="preserve">Removed: duplicate in our own books</t>
  </si>
  <si>
    <t xml:space="preserve">ST/2231-B, not real credit</t>
  </si>
  <si>
    <t xml:space="preserve">Check: parts add up to flagged</t>
  </si>
  <si>
    <t xml:space="preserve">Real credit (flagged less the duplicate)</t>
  </si>
  <si>
    <t xml:space="preserve">Share of real credit recovered</t>
  </si>
  <si>
    <t xml:space="preserve">Share of real credit lost for good</t>
  </si>
  <si>
    <t xml:space="preserve">The demo is built to show the mechanism, not the rate: it puts three FY 2025-26 cases into one month, so its loss without action (about 27%) is far above the 6% the model assumes.</t>
  </si>
  <si>
    <t xml:space="preserve">Blue figures are the prototype's outputs, copied as values. Source: the prototype's model (model.js) on fictional data.</t>
  </si>
  <si>
    <t xml:space="preserve">How the inbox is ranked</t>
  </si>
  <si>
    <t xml:space="preserve">Protect what can't be undone first: last year's credit outranks bigger amounts that can still be claimed later.</t>
  </si>
  <si>
    <t xml:space="preserve">Order of the rules</t>
  </si>
  <si>
    <t xml:space="preserve">1. Group: Needs you, then Lost or missing, Promised, Waiting, Seen in IMS, Fixed.</t>
  </si>
  <si>
    <t xml:space="preserve">2. Within a group: suppliers with FY 2025-26 credit first (rule R8), because it cannot be claimed after 30 Nov 2026.</t>
  </si>
  <si>
    <t xml:space="preserve">3. Then, for promised suppliers, the earliest promised date first.</t>
  </si>
  <si>
    <t xml:space="preserve">4. Then the largest credit stuck first.</t>
  </si>
  <si>
    <t xml:space="preserve">Rank</t>
  </si>
  <si>
    <t xml:space="preserve">Supplier</t>
  </si>
  <si>
    <t xml:space="preserve">Status on 15 Oct 2026</t>
  </si>
  <si>
    <t xml:space="preserve">Last year's credit (₹)</t>
  </si>
  <si>
    <t xml:space="preserve">Credit stuck (₹)</t>
  </si>
  <si>
    <t xml:space="preserve">Why it sits here</t>
  </si>
  <si>
    <t xml:space="preserve">Nova Polymers</t>
  </si>
  <si>
    <t xml:space="preserve">Needs you</t>
  </si>
  <si>
    <t xml:space="preserve">Needs a decision; the most FY 2025-26 credit</t>
  </si>
  <si>
    <t xml:space="preserve">Vega Chemicals</t>
  </si>
  <si>
    <t xml:space="preserve">Needs a decision; FY 2025-26 credit</t>
  </si>
  <si>
    <t xml:space="preserve">Rathi Alloys</t>
  </si>
  <si>
    <t xml:space="preserve">Patel Steel Traders</t>
  </si>
  <si>
    <t xml:space="preserve">Needs a decision; largest current-year credit</t>
  </si>
  <si>
    <t xml:space="preserve">Delta Engineering Works</t>
  </si>
  <si>
    <t xml:space="preserve">Not contacted</t>
  </si>
  <si>
    <t xml:space="preserve">Needs the first message</t>
  </si>
  <si>
    <t xml:space="preserve">GreenLeaf Facility Services</t>
  </si>
  <si>
    <t xml:space="preserve">Contact has left</t>
  </si>
  <si>
    <t xml:space="preserve">Mehta Castings</t>
  </si>
  <si>
    <t xml:space="preserve">Fix in our books</t>
  </si>
  <si>
    <t xml:space="preserve">Our entry is wrong</t>
  </si>
  <si>
    <t xml:space="preserve">Jyoti Industrial Gases</t>
  </si>
  <si>
    <t xml:space="preserve">Angry denial</t>
  </si>
  <si>
    <t xml:space="preserve">Sai Tooling Solutions</t>
  </si>
  <si>
    <t xml:space="preserve">Duplicate in our books</t>
  </si>
  <si>
    <t xml:space="preserve">Orbit Office Supplies</t>
  </si>
  <si>
    <t xml:space="preserve">Bharat Fasteners</t>
  </si>
  <si>
    <t xml:space="preserve">Wants documents</t>
  </si>
  <si>
    <t xml:space="preserve">Kaveri Precision</t>
  </si>
  <si>
    <t xml:space="preserve">Promised 16 Oct</t>
  </si>
  <si>
    <t xml:space="preserve">Earliest promise</t>
  </si>
  <si>
    <t xml:space="preserve">Sunrise Rubber Works</t>
  </si>
  <si>
    <t xml:space="preserve">Promised 11 Nov</t>
  </si>
  <si>
    <t xml:space="preserve">Promise; larger credit first</t>
  </si>
  <si>
    <t xml:space="preserve">Shree Ganesh Packaging</t>
  </si>
  <si>
    <t xml:space="preserve">Promise</t>
  </si>
  <si>
    <t xml:space="preserve">Krishna Electricals</t>
  </si>
  <si>
    <t xml:space="preserve">Apex Machine Tools</t>
  </si>
  <si>
    <t xml:space="preserve">Waiting for supplier</t>
  </si>
  <si>
    <t xml:space="preserve">Out of office until 20 Oct</t>
  </si>
  <si>
    <t xml:space="preserve">Total</t>
  </si>
  <si>
    <t xml:space="preserve">Needs you (first 11 rows)</t>
  </si>
  <si>
    <t xml:space="preserve">Order and amounts as the prototype shows them on 15 Oct 2026 (fictional data). Credit stuck excludes ₹52,200 already recovered.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</si>
</sst>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&gt;=10000000]\₹##\,##\,##\,##0;[&gt;=100000]\₹##\,##\,##0;\₹#,##0"/>
    <numFmt numFmtId="166" formatCode="0.0\x"/>
    <numFmt numFmtId="167" formatCode="0.0&quot; months&quot;"/>
    <numFmt numFmtId="168" formatCode="0.0%"/>
    <numFmt numFmtId="169" formatCode="\₹#,##0.00"/>
    <numFmt numFmtId="170" formatCode="0.00%"/>
    <numFmt numFmtId="171" formatCode="#,##0"/>
    <numFmt numFmtId="172" formatCode="\₹#,##0.0&quot; L&quot;"/>
    <numFmt numFmtId="173" formatCode="\₹0.00&quot; Cr&quot;"/>
    <numFmt numFmtId="174" formatCode="\$#,##0.00"/>
    <numFmt numFmtId="175" formatCode="\₹0.00"/>
    <numFmt numFmtId="17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2B43"/>
      <name val="Arial"/>
      <family val="0"/>
      <charset val="1"/>
    </font>
    <font>
      <i val="true"/>
      <sz val="10"/>
      <color rgb="FF62718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4250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ECFF"/>
        <bgColor rgb="FFEEF1F7"/>
      </patternFill>
    </fill>
    <fill>
      <patternFill patternType="solid">
        <fgColor rgb="FF142338"/>
        <bgColor rgb="FF172B43"/>
      </patternFill>
    </fill>
    <fill>
      <patternFill patternType="solid">
        <fgColor rgb="FFFFFF00"/>
        <bgColor rgb="FFFFFF00"/>
      </patternFill>
    </fill>
    <fill>
      <patternFill patternType="solid">
        <fgColor rgb="FFEEF1F7"/>
        <bgColor rgb="FFE6E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5EE"/>
      </left>
      <right style="thin">
        <color rgb="FFDFE5EE"/>
      </right>
      <top style="thin">
        <color rgb="FFDFE5EE"/>
      </top>
      <bottom style="thin">
        <color rgb="FFDFE5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7"/>
      <rgbColor rgb="FFE6ECFF"/>
      <rgbColor rgb="FF660066"/>
      <rgbColor rgb="FFFF8080"/>
      <rgbColor rgb="FF0066CC"/>
      <rgbColor rgb="FFDF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05AE8"/>
      <rgbColor rgb="FF33CCCC"/>
      <rgbColor rgb="FF99CC00"/>
      <rgbColor rgb="FFFFCC00"/>
      <rgbColor rgb="FFFF9900"/>
      <rgbColor rgb="FFFF6600"/>
      <rgbColor rgb="FF627187"/>
      <rgbColor rgb="FF969696"/>
      <rgbColor rgb="FF142338"/>
      <rgbColor rgb="FF339966"/>
      <rgbColor rgb="FF003300"/>
      <rgbColor rgb="FF333300"/>
      <rgbColor rgb="FF993300"/>
      <rgbColor rgb="FF993366"/>
      <rgbColor rgb="FF42506B"/>
      <rgbColor rgb="FF172B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338"/>
    <pageSetUpPr fitToPage="tru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'One customer'!C11</f>
        <v>1583145.20547945</v>
      </c>
    </row>
    <row r="6" customFormat="false" ht="15" hidden="false" customHeight="false" outlineLevel="0" collapsed="false">
      <c r="A6" s="4" t="s">
        <v>4</v>
      </c>
      <c r="B6" s="6" t="n">
        <f aca="false">'One customer'!C15</f>
        <v>7.91572602739726</v>
      </c>
    </row>
    <row r="7" customFormat="false" ht="15" hidden="false" customHeight="false" outlineLevel="0" collapsed="false">
      <c r="A7" s="4" t="s">
        <v>5</v>
      </c>
      <c r="B7" s="7" t="n">
        <f aca="false">'One customer'!C16</f>
        <v>1.51596959754122</v>
      </c>
    </row>
    <row r="8" customFormat="false" ht="15" hidden="false" customHeight="false" outlineLevel="0" collapsed="false">
      <c r="A8" s="4" t="s">
        <v>6</v>
      </c>
      <c r="B8" s="8" t="n">
        <f aca="false">'One customer'!C13</f>
        <v>0.757984798770611</v>
      </c>
    </row>
    <row r="9" customFormat="false" ht="15" hidden="false" customHeight="false" outlineLevel="0" collapsed="false">
      <c r="A9" s="4" t="s">
        <v>7</v>
      </c>
      <c r="B9" s="5" t="n">
        <f aca="false">'One customer'!B11</f>
        <v>177863.01369863</v>
      </c>
    </row>
    <row r="10" customFormat="false" ht="15" hidden="false" customHeight="false" outlineLevel="0" collapsed="false">
      <c r="A10" s="4" t="s">
        <v>8</v>
      </c>
      <c r="B10" s="9" t="n">
        <f aca="false">'AI unit economics'!B24</f>
        <v>0.493536</v>
      </c>
    </row>
    <row r="11" customFormat="false" ht="15" hidden="false" customHeight="false" outlineLevel="0" collapsed="false">
      <c r="A11" s="4" t="s">
        <v>9</v>
      </c>
      <c r="B11" s="10" t="n">
        <f aca="false">'One customer'!C18</f>
        <v>0.0017767296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11" t="s">
        <v>11</v>
      </c>
    </row>
    <row r="15" customFormat="false" ht="15" hidden="false" customHeight="false" outlineLevel="0" collapsed="false">
      <c r="A15" s="11" t="s">
        <v>12</v>
      </c>
    </row>
    <row r="16" customFormat="false" ht="15" hidden="false" customHeight="false" outlineLevel="0" collapsed="false">
      <c r="A16" s="11" t="s">
        <v>13</v>
      </c>
    </row>
    <row r="17" customFormat="false" ht="15" hidden="false" customHeight="false" outlineLevel="0" collapsed="false">
      <c r="A17" s="11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12" t="s">
        <v>16</v>
      </c>
      <c r="B20" s="11" t="s">
        <v>17</v>
      </c>
    </row>
    <row r="21" customFormat="false" ht="15" hidden="false" customHeight="false" outlineLevel="0" collapsed="false">
      <c r="A21" s="12" t="s">
        <v>18</v>
      </c>
      <c r="B21" s="11" t="s">
        <v>19</v>
      </c>
    </row>
    <row r="22" customFormat="false" ht="15" hidden="false" customHeight="false" outlineLevel="0" collapsed="false">
      <c r="A22" s="12" t="s">
        <v>20</v>
      </c>
      <c r="B22" s="11" t="s">
        <v>21</v>
      </c>
    </row>
    <row r="23" customFormat="false" ht="15" hidden="false" customHeight="false" outlineLevel="0" collapsed="false">
      <c r="A23" s="12" t="s">
        <v>22</v>
      </c>
      <c r="B23" s="11" t="s">
        <v>23</v>
      </c>
    </row>
    <row r="24" customFormat="false" ht="15" hidden="false" customHeight="false" outlineLevel="0" collapsed="false">
      <c r="A24" s="12" t="s">
        <v>24</v>
      </c>
      <c r="B24" s="11" t="s">
        <v>25</v>
      </c>
    </row>
    <row r="25" customFormat="false" ht="15" hidden="false" customHeight="false" outlineLevel="0" collapsed="false">
      <c r="A25" s="12" t="s">
        <v>26</v>
      </c>
      <c r="B25" s="11" t="s">
        <v>27</v>
      </c>
    </row>
    <row r="26" customFormat="false" ht="15" hidden="false" customHeight="false" outlineLevel="0" collapsed="false">
      <c r="A26" s="12" t="s">
        <v>28</v>
      </c>
      <c r="B26" s="11" t="s">
        <v>29</v>
      </c>
    </row>
    <row r="28" customFormat="false" ht="15" hidden="false" customHeight="false" outlineLevel="0" collapsed="false">
      <c r="A28" s="3" t="s">
        <v>30</v>
      </c>
    </row>
    <row r="29" customFormat="false" ht="15" hidden="false" customHeight="false" outlineLevel="0" collapsed="false">
      <c r="A29" s="11" t="s">
        <v>31</v>
      </c>
    </row>
    <row r="31" customFormat="false" ht="15" hidden="false" customHeight="false" outlineLevel="0" collapsed="false">
      <c r="A31" s="3" t="s">
        <v>32</v>
      </c>
    </row>
    <row r="32" customFormat="false" ht="15" hidden="false" customHeight="false" outlineLevel="0" collapsed="false">
      <c r="A32" s="13" t="s">
        <v>33</v>
      </c>
    </row>
    <row r="33" customFormat="false" ht="15" hidden="false" customHeight="false" outlineLevel="0" collapsed="false">
      <c r="A33" s="13" t="s">
        <v>34</v>
      </c>
    </row>
    <row r="34" customFormat="false" ht="15" hidden="false" customHeight="false" outlineLevel="0" collapsed="false">
      <c r="A34" s="13" t="s">
        <v>35</v>
      </c>
    </row>
    <row r="35" customFormat="false" ht="15" hidden="false" customHeight="false" outlineLevel="0" collapsed="false">
      <c r="A35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5AE8"/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7" min="7" style="0" width="90"/>
  </cols>
  <sheetData>
    <row r="1" customFormat="false" ht="18.5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14" t="s">
        <v>38</v>
      </c>
      <c r="B4" s="14" t="s">
        <v>39</v>
      </c>
      <c r="C4" s="14" t="s">
        <v>40</v>
      </c>
      <c r="D4" s="14" t="s">
        <v>41</v>
      </c>
      <c r="E4" s="14" t="s">
        <v>42</v>
      </c>
      <c r="F4" s="14" t="s">
        <v>43</v>
      </c>
      <c r="G4" s="14" t="s">
        <v>44</v>
      </c>
    </row>
    <row r="5" customFormat="false" ht="22.35" hidden="false" customHeight="false" outlineLevel="0" collapsed="false">
      <c r="A5" s="15" t="n">
        <v>1</v>
      </c>
      <c r="B5" s="16" t="s">
        <v>45</v>
      </c>
      <c r="C5" s="15" t="s">
        <v>46</v>
      </c>
      <c r="D5" s="17" t="n">
        <v>1000000</v>
      </c>
      <c r="E5" s="18" t="n">
        <v>2500000</v>
      </c>
      <c r="F5" s="17" t="n">
        <v>5000000</v>
      </c>
      <c r="G5" s="19" t="s">
        <v>47</v>
      </c>
    </row>
    <row r="6" customFormat="false" ht="22.35" hidden="false" customHeight="false" outlineLevel="0" collapsed="false">
      <c r="A6" s="15" t="n">
        <v>2</v>
      </c>
      <c r="B6" s="16" t="s">
        <v>48</v>
      </c>
      <c r="C6" s="15" t="s">
        <v>49</v>
      </c>
      <c r="D6" s="20" t="n">
        <v>0.03</v>
      </c>
      <c r="E6" s="21" t="n">
        <v>0.06</v>
      </c>
      <c r="F6" s="20" t="n">
        <v>0.1</v>
      </c>
      <c r="G6" s="19" t="s">
        <v>50</v>
      </c>
    </row>
    <row r="7" customFormat="false" ht="15" hidden="false" customHeight="false" outlineLevel="0" collapsed="false">
      <c r="A7" s="15" t="n">
        <v>3</v>
      </c>
      <c r="B7" s="16" t="s">
        <v>51</v>
      </c>
      <c r="C7" s="15" t="s">
        <v>49</v>
      </c>
      <c r="D7" s="20" t="n">
        <v>0.02</v>
      </c>
      <c r="E7" s="21" t="n">
        <v>0.02</v>
      </c>
      <c r="F7" s="20" t="n">
        <v>0.01</v>
      </c>
      <c r="G7" s="19" t="s">
        <v>52</v>
      </c>
    </row>
    <row r="8" customFormat="false" ht="15" hidden="false" customHeight="false" outlineLevel="0" collapsed="false">
      <c r="A8" s="15" t="n">
        <v>4</v>
      </c>
      <c r="B8" s="16" t="s">
        <v>53</v>
      </c>
      <c r="C8" s="15" t="s">
        <v>49</v>
      </c>
      <c r="D8" s="20" t="n">
        <v>0.6</v>
      </c>
      <c r="E8" s="21" t="n">
        <v>0.55</v>
      </c>
      <c r="F8" s="20" t="n">
        <v>0.5</v>
      </c>
      <c r="G8" s="19" t="s">
        <v>54</v>
      </c>
    </row>
    <row r="9" customFormat="false" ht="22.35" hidden="false" customHeight="false" outlineLevel="0" collapsed="false">
      <c r="A9" s="15" t="n">
        <v>5</v>
      </c>
      <c r="B9" s="16" t="s">
        <v>55</v>
      </c>
      <c r="C9" s="15" t="s">
        <v>49</v>
      </c>
      <c r="D9" s="20" t="n">
        <v>0.7</v>
      </c>
      <c r="E9" s="21" t="n">
        <v>0.8</v>
      </c>
      <c r="F9" s="20" t="n">
        <v>0.85</v>
      </c>
      <c r="G9" s="19" t="s">
        <v>56</v>
      </c>
    </row>
    <row r="10" customFormat="false" ht="23.85" hidden="false" customHeight="false" outlineLevel="0" collapsed="false">
      <c r="A10" s="15" t="n">
        <v>6</v>
      </c>
      <c r="B10" s="16" t="s">
        <v>57</v>
      </c>
      <c r="C10" s="15" t="s">
        <v>58</v>
      </c>
      <c r="D10" s="22" t="n">
        <v>30</v>
      </c>
      <c r="E10" s="23" t="n">
        <v>60</v>
      </c>
      <c r="F10" s="22" t="n">
        <v>75</v>
      </c>
      <c r="G10" s="19" t="s">
        <v>59</v>
      </c>
    </row>
    <row r="11" customFormat="false" ht="15" hidden="false" customHeight="false" outlineLevel="0" collapsed="false">
      <c r="A11" s="15" t="n">
        <v>7</v>
      </c>
      <c r="B11" s="16" t="s">
        <v>60</v>
      </c>
      <c r="C11" s="15" t="s">
        <v>61</v>
      </c>
      <c r="D11" s="20" t="n">
        <v>0.1</v>
      </c>
      <c r="E11" s="21" t="n">
        <v>0.12</v>
      </c>
      <c r="F11" s="20" t="n">
        <v>0.14</v>
      </c>
      <c r="G11" s="19" t="s">
        <v>62</v>
      </c>
    </row>
    <row r="12" customFormat="false" ht="15" hidden="false" customHeight="false" outlineLevel="0" collapsed="false">
      <c r="A12" s="15" t="n">
        <v>8</v>
      </c>
      <c r="B12" s="16" t="s">
        <v>63</v>
      </c>
      <c r="C12" s="15" t="s">
        <v>64</v>
      </c>
      <c r="D12" s="22" t="n">
        <v>40</v>
      </c>
      <c r="E12" s="23" t="n">
        <v>60</v>
      </c>
      <c r="F12" s="22" t="n">
        <v>100</v>
      </c>
      <c r="G12" s="19" t="s">
        <v>65</v>
      </c>
    </row>
    <row r="13" customFormat="false" ht="15" hidden="false" customHeight="false" outlineLevel="0" collapsed="false">
      <c r="A13" s="15" t="n">
        <v>9</v>
      </c>
      <c r="B13" s="16" t="s">
        <v>66</v>
      </c>
      <c r="C13" s="15" t="s">
        <v>67</v>
      </c>
      <c r="D13" s="22" t="n">
        <v>30</v>
      </c>
      <c r="E13" s="23" t="n">
        <v>40</v>
      </c>
      <c r="F13" s="22" t="n">
        <v>50</v>
      </c>
      <c r="G13" s="19" t="s">
        <v>68</v>
      </c>
    </row>
    <row r="14" customFormat="false" ht="15" hidden="false" customHeight="false" outlineLevel="0" collapsed="false">
      <c r="A14" s="15" t="n">
        <v>10</v>
      </c>
      <c r="B14" s="16" t="s">
        <v>69</v>
      </c>
      <c r="C14" s="15" t="s">
        <v>67</v>
      </c>
      <c r="D14" s="22" t="n">
        <v>18</v>
      </c>
      <c r="E14" s="23" t="n">
        <v>12</v>
      </c>
      <c r="F14" s="22" t="n">
        <v>10</v>
      </c>
      <c r="G14" s="19" t="s">
        <v>70</v>
      </c>
    </row>
    <row r="15" customFormat="false" ht="15" hidden="false" customHeight="false" outlineLevel="0" collapsed="false">
      <c r="A15" s="15" t="n">
        <v>11</v>
      </c>
      <c r="B15" s="16" t="s">
        <v>71</v>
      </c>
      <c r="C15" s="15" t="s">
        <v>46</v>
      </c>
      <c r="D15" s="17" t="n">
        <v>500</v>
      </c>
      <c r="E15" s="18" t="n">
        <v>700</v>
      </c>
      <c r="F15" s="17" t="n">
        <v>900</v>
      </c>
      <c r="G15" s="19" t="s">
        <v>72</v>
      </c>
    </row>
    <row r="16" customFormat="false" ht="15" hidden="false" customHeight="false" outlineLevel="0" collapsed="false">
      <c r="A16" s="15" t="n">
        <v>12</v>
      </c>
      <c r="B16" s="16" t="s">
        <v>73</v>
      </c>
      <c r="C16" s="15" t="s">
        <v>46</v>
      </c>
      <c r="D16" s="17" t="n">
        <v>200000</v>
      </c>
      <c r="E16" s="18" t="n">
        <v>200000</v>
      </c>
      <c r="F16" s="17" t="n">
        <v>200000</v>
      </c>
      <c r="G16" s="19" t="s">
        <v>74</v>
      </c>
    </row>
    <row r="17" customFormat="false" ht="15" hidden="false" customHeight="false" outlineLevel="0" collapsed="false">
      <c r="A17" s="15" t="n">
        <v>13</v>
      </c>
      <c r="B17" s="16" t="s">
        <v>75</v>
      </c>
      <c r="C17" s="15" t="s">
        <v>64</v>
      </c>
      <c r="D17" s="22" t="n">
        <v>60</v>
      </c>
      <c r="E17" s="23" t="n">
        <v>150</v>
      </c>
      <c r="F17" s="22" t="n">
        <v>300</v>
      </c>
      <c r="G17" s="19" t="s">
        <v>76</v>
      </c>
    </row>
    <row r="19" customFormat="false" ht="15" hidden="false" customHeight="false" outlineLevel="0" collapsed="false">
      <c r="B19" s="13" t="s">
        <v>77</v>
      </c>
    </row>
    <row r="20" customFormat="false" ht="15" hidden="false" customHeight="false" outlineLevel="0" collapsed="false">
      <c r="B20" s="1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8.5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14" t="s">
        <v>81</v>
      </c>
      <c r="B4" s="14" t="s">
        <v>41</v>
      </c>
      <c r="C4" s="14" t="s">
        <v>42</v>
      </c>
      <c r="D4" s="14" t="s">
        <v>43</v>
      </c>
      <c r="E4" s="14" t="s">
        <v>82</v>
      </c>
    </row>
    <row r="5" customFormat="false" ht="15" hidden="false" customHeight="false" outlineLevel="0" collapsed="false">
      <c r="A5" s="4" t="s">
        <v>83</v>
      </c>
      <c r="B5" s="24" t="n">
        <f aca="false">Inputs!$D$5*12</f>
        <v>12000000</v>
      </c>
      <c r="C5" s="24" t="n">
        <f aca="false">Inputs!$E$5*12</f>
        <v>30000000</v>
      </c>
      <c r="D5" s="24" t="n">
        <f aca="false">Inputs!$F$5*12</f>
        <v>60000000</v>
      </c>
      <c r="E5" s="25" t="s">
        <v>84</v>
      </c>
    </row>
    <row r="6" customFormat="false" ht="15" hidden="false" customHeight="false" outlineLevel="0" collapsed="false">
      <c r="A6" s="4" t="s">
        <v>85</v>
      </c>
      <c r="B6" s="24" t="n">
        <f aca="false">B5*(Inputs!$D$6-Inputs!$D$7)</f>
        <v>120000</v>
      </c>
      <c r="C6" s="24" t="n">
        <f aca="false">C5*(Inputs!$E$6-Inputs!$E$7)</f>
        <v>1200000</v>
      </c>
      <c r="D6" s="24" t="n">
        <f aca="false">D5*(Inputs!$F$6-Inputs!$F$7)</f>
        <v>5400000</v>
      </c>
      <c r="E6" s="25" t="s">
        <v>86</v>
      </c>
    </row>
    <row r="7" customFormat="false" ht="15" hidden="false" customHeight="false" outlineLevel="0" collapsed="false">
      <c r="A7" s="4" t="s">
        <v>87</v>
      </c>
      <c r="B7" s="24" t="n">
        <f aca="false">B5*(Inputs!$D$9-Inputs!$D$8)</f>
        <v>1200000</v>
      </c>
      <c r="C7" s="24" t="n">
        <f aca="false">C5*(Inputs!$E$9-Inputs!$E$8)</f>
        <v>7500000</v>
      </c>
      <c r="D7" s="24" t="n">
        <f aca="false">D5*(Inputs!$F$9-Inputs!$F$8)</f>
        <v>21000000</v>
      </c>
      <c r="E7" s="25" t="s">
        <v>88</v>
      </c>
    </row>
    <row r="8" customFormat="false" ht="15" hidden="false" customHeight="false" outlineLevel="0" collapsed="false">
      <c r="A8" s="4" t="s">
        <v>89</v>
      </c>
      <c r="B8" s="24" t="n">
        <f aca="false">B7*Inputs!$D$11*Inputs!$D$10/365</f>
        <v>9863.01369863014</v>
      </c>
      <c r="C8" s="24" t="n">
        <f aca="false">C7*Inputs!$E$11*Inputs!$E$10/365</f>
        <v>147945.205479452</v>
      </c>
      <c r="D8" s="24" t="n">
        <f aca="false">D7*Inputs!$F$11*Inputs!$F$10/365</f>
        <v>604109.589041096</v>
      </c>
      <c r="E8" s="25" t="s">
        <v>90</v>
      </c>
    </row>
    <row r="9" customFormat="false" ht="15" hidden="false" customHeight="false" outlineLevel="0" collapsed="false">
      <c r="A9" s="4" t="s">
        <v>91</v>
      </c>
      <c r="B9" s="26" t="n">
        <f aca="false">Inputs!$D$12*12*(Inputs!$D$13-Inputs!$D$14)/60</f>
        <v>96</v>
      </c>
      <c r="C9" s="26" t="n">
        <f aca="false">Inputs!$E$12*12*(Inputs!$E$13-Inputs!$E$14)/60</f>
        <v>336</v>
      </c>
      <c r="D9" s="26" t="n">
        <f aca="false">Inputs!$F$12*12*(Inputs!$F$13-Inputs!$F$14)/60</f>
        <v>800</v>
      </c>
      <c r="E9" s="25" t="s">
        <v>92</v>
      </c>
    </row>
    <row r="10" customFormat="false" ht="15" hidden="false" customHeight="false" outlineLevel="0" collapsed="false">
      <c r="A10" s="4" t="s">
        <v>93</v>
      </c>
      <c r="B10" s="24" t="n">
        <f aca="false">B9*Inputs!$D$15</f>
        <v>48000</v>
      </c>
      <c r="C10" s="24" t="n">
        <f aca="false">C9*Inputs!$E$15</f>
        <v>235200</v>
      </c>
      <c r="D10" s="24" t="n">
        <f aca="false">D9*Inputs!$F$15</f>
        <v>720000</v>
      </c>
      <c r="E10" s="25" t="s">
        <v>94</v>
      </c>
    </row>
    <row r="11" customFormat="false" ht="15" hidden="false" customHeight="false" outlineLevel="0" collapsed="false">
      <c r="A11" s="27" t="s">
        <v>95</v>
      </c>
      <c r="B11" s="28" t="n">
        <f aca="false">B6+B8+B10</f>
        <v>177863.01369863</v>
      </c>
      <c r="C11" s="29" t="n">
        <f aca="false">C6+C8+C10</f>
        <v>1583145.20547945</v>
      </c>
      <c r="D11" s="28" t="n">
        <f aca="false">D6+D8+D10</f>
        <v>6724109.5890411</v>
      </c>
      <c r="E11" s="25" t="s">
        <v>96</v>
      </c>
    </row>
    <row r="12" customFormat="false" ht="15" hidden="false" customHeight="false" outlineLevel="0" collapsed="false">
      <c r="A12" s="27" t="s">
        <v>97</v>
      </c>
      <c r="B12" s="30" t="n">
        <f aca="false">B11/100000</f>
        <v>1.7786301369863</v>
      </c>
      <c r="C12" s="30" t="n">
        <f aca="false">C11/100000</f>
        <v>15.8314520547945</v>
      </c>
      <c r="D12" s="30" t="n">
        <f aca="false">D11/100000</f>
        <v>67.241095890411</v>
      </c>
      <c r="E12" s="25" t="s">
        <v>98</v>
      </c>
    </row>
    <row r="13" customFormat="false" ht="15" hidden="false" customHeight="false" outlineLevel="0" collapsed="false">
      <c r="A13" s="4" t="s">
        <v>99</v>
      </c>
      <c r="B13" s="31" t="n">
        <f aca="false">IF(B11=0,0,B6/B11)</f>
        <v>0.674676524953789</v>
      </c>
      <c r="C13" s="31" t="n">
        <f aca="false">IF(C11=0,0,C6/C11)</f>
        <v>0.757984798770611</v>
      </c>
      <c r="D13" s="31" t="n">
        <f aca="false">IF(D11=0,0,D6/D11)</f>
        <v>0.803080308030803</v>
      </c>
      <c r="E13" s="25" t="s">
        <v>100</v>
      </c>
    </row>
    <row r="14" customFormat="false" ht="15" hidden="false" customHeight="false" outlineLevel="0" collapsed="false">
      <c r="A14" s="4" t="s">
        <v>73</v>
      </c>
      <c r="B14" s="32" t="n">
        <f aca="false">Inputs!$D$16</f>
        <v>200000</v>
      </c>
      <c r="C14" s="32" t="n">
        <f aca="false">Inputs!$E$16</f>
        <v>200000</v>
      </c>
      <c r="D14" s="32" t="n">
        <f aca="false">Inputs!$F$16</f>
        <v>200000</v>
      </c>
      <c r="E14" s="25" t="s">
        <v>101</v>
      </c>
    </row>
    <row r="15" customFormat="false" ht="15" hidden="false" customHeight="false" outlineLevel="0" collapsed="false">
      <c r="A15" s="27" t="s">
        <v>4</v>
      </c>
      <c r="B15" s="33" t="n">
        <f aca="false">IF(B14=0,0,B11/B14)</f>
        <v>0.889315068493151</v>
      </c>
      <c r="C15" s="33" t="n">
        <f aca="false">IF(C14=0,0,C11/C14)</f>
        <v>7.91572602739726</v>
      </c>
      <c r="D15" s="33" t="n">
        <f aca="false">IF(D14=0,0,D11/D14)</f>
        <v>33.6205479452055</v>
      </c>
      <c r="E15" s="25" t="s">
        <v>102</v>
      </c>
    </row>
    <row r="16" customFormat="false" ht="15" hidden="false" customHeight="false" outlineLevel="0" collapsed="false">
      <c r="A16" s="27" t="s">
        <v>5</v>
      </c>
      <c r="B16" s="34" t="n">
        <f aca="false">IF(B11=0,0,B14/(B11/12))</f>
        <v>13.4935304990758</v>
      </c>
      <c r="C16" s="34" t="n">
        <f aca="false">IF(C11=0,0,C14/(C11/12))</f>
        <v>1.51596959754122</v>
      </c>
      <c r="D16" s="34" t="n">
        <f aca="false">IF(D11=0,0,D14/(D11/12))</f>
        <v>0.356924581347024</v>
      </c>
      <c r="E16" s="25" t="s">
        <v>103</v>
      </c>
    </row>
    <row r="17" customFormat="false" ht="15" hidden="false" customHeight="false" outlineLevel="0" collapsed="false">
      <c r="A17" s="4" t="s">
        <v>104</v>
      </c>
      <c r="B17" s="32" t="n">
        <f aca="false">'AI unit economics'!C26</f>
        <v>1539.83232</v>
      </c>
      <c r="C17" s="32" t="n">
        <f aca="false">'AI unit economics'!B26</f>
        <v>355.34592</v>
      </c>
      <c r="D17" s="32" t="n">
        <f aca="false">'AI unit economics'!B26</f>
        <v>355.34592</v>
      </c>
      <c r="E17" s="25" t="s">
        <v>105</v>
      </c>
    </row>
    <row r="18" customFormat="false" ht="15" hidden="false" customHeight="false" outlineLevel="0" collapsed="false">
      <c r="A18" s="4" t="s">
        <v>9</v>
      </c>
      <c r="B18" s="35" t="n">
        <f aca="false">IF(B14=0,0,B17/B14)</f>
        <v>0.0076991616</v>
      </c>
      <c r="C18" s="35" t="n">
        <f aca="false">IF(C14=0,0,C17/C14)</f>
        <v>0.0017767296</v>
      </c>
      <c r="D18" s="35" t="n">
        <f aca="false">IF(D14=0,0,D17/D14)</f>
        <v>0.0017767296</v>
      </c>
      <c r="E18" s="25" t="s">
        <v>106</v>
      </c>
    </row>
    <row r="20" customFormat="false" ht="15" hidden="false" customHeight="false" outlineLevel="0" collapsed="false">
      <c r="A20" s="13" t="s">
        <v>107</v>
      </c>
    </row>
    <row r="21" customFormat="false" ht="15" hidden="false" customHeight="false" outlineLevel="0" collapsed="false">
      <c r="A21" s="1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3.85" hidden="false" customHeight="false" outlineLevel="0" collapsed="false">
      <c r="A4" s="14" t="s">
        <v>111</v>
      </c>
      <c r="B4" s="14" t="s">
        <v>112</v>
      </c>
      <c r="C4" s="14" t="s">
        <v>113</v>
      </c>
      <c r="D4" s="14" t="s">
        <v>114</v>
      </c>
      <c r="E4" s="14" t="s">
        <v>115</v>
      </c>
    </row>
    <row r="5" customFormat="false" ht="15" hidden="false" customHeight="false" outlineLevel="0" collapsed="false">
      <c r="A5" s="27" t="s">
        <v>45</v>
      </c>
      <c r="B5" s="24" t="n">
        <f aca="false">12*Inputs!$D$5*(Inputs!$E$6-Inputs!$E$7)+12*Inputs!$D$5*(Inputs!$E$9-Inputs!$E$8)*Inputs!$E$11*Inputs!$E$10/365+Inputs!$E$12*12*(Inputs!$E$13-Inputs!$E$14)/60*Inputs!$E$15</f>
        <v>774378.082191781</v>
      </c>
      <c r="C5" s="24" t="n">
        <f aca="false">12*Inputs!$F$5*(Inputs!$E$6-Inputs!$E$7)+12*Inputs!$F$5*(Inputs!$E$9-Inputs!$E$8)*Inputs!$E$11*Inputs!$E$10/365+Inputs!$E$12*12*(Inputs!$E$13-Inputs!$E$14)/60*Inputs!$E$15</f>
        <v>2931090.4109589</v>
      </c>
      <c r="D5" s="36" t="n">
        <f aca="false">ABS(C5-B5)</f>
        <v>2156712.32876712</v>
      </c>
      <c r="E5" s="37" t="str">
        <f aca="false">TEXT(Inputs!$D$5,"#,##0")&amp;" → "&amp;TEXT(Inputs!$F$5,"#,##0")</f>
        <v>1,000,000 → 5,000,000</v>
      </c>
    </row>
    <row r="6" customFormat="false" ht="15" hidden="false" customHeight="false" outlineLevel="0" collapsed="false">
      <c r="A6" s="27" t="s">
        <v>48</v>
      </c>
      <c r="B6" s="24" t="n">
        <f aca="false">12*Inputs!$E$5*(Inputs!$D$6-Inputs!$E$7)+12*Inputs!$E$5*(Inputs!$E$9-Inputs!$E$8)*Inputs!$E$11*Inputs!$E$10/365+Inputs!$E$12*12*(Inputs!$E$13-Inputs!$E$14)/60*Inputs!$E$15</f>
        <v>683145.205479452</v>
      </c>
      <c r="C6" s="24" t="n">
        <f aca="false">12*Inputs!$E$5*(Inputs!$F$6-Inputs!$E$7)+12*Inputs!$E$5*(Inputs!$E$9-Inputs!$E$8)*Inputs!$E$11*Inputs!$E$10/365+Inputs!$E$12*12*(Inputs!$E$13-Inputs!$E$14)/60*Inputs!$E$15</f>
        <v>2783145.20547945</v>
      </c>
      <c r="D6" s="36" t="n">
        <f aca="false">ABS(C6-B6)</f>
        <v>2100000</v>
      </c>
      <c r="E6" s="37" t="str">
        <f aca="false">TEXT(Inputs!$D$6,"0%")&amp;" → "&amp;TEXT(Inputs!$F$6,"0%")</f>
        <v>3% → 10%</v>
      </c>
    </row>
    <row r="7" customFormat="false" ht="15" hidden="false" customHeight="false" outlineLevel="0" collapsed="false">
      <c r="A7" s="27" t="s">
        <v>51</v>
      </c>
      <c r="B7" s="24" t="n">
        <f aca="false">12*Inputs!$E$5*(Inputs!$E$6-Inputs!$D$7)+12*Inputs!$E$5*(Inputs!$E$9-Inputs!$E$8)*Inputs!$E$11*Inputs!$E$10/365+Inputs!$E$12*12*(Inputs!$E$13-Inputs!$E$14)/60*Inputs!$E$15</f>
        <v>1583145.20547945</v>
      </c>
      <c r="C7" s="24" t="n">
        <f aca="false">12*Inputs!$E$5*(Inputs!$E$6-Inputs!$F$7)+12*Inputs!$E$5*(Inputs!$E$9-Inputs!$E$8)*Inputs!$E$11*Inputs!$E$10/365+Inputs!$E$12*12*(Inputs!$E$13-Inputs!$E$14)/60*Inputs!$E$15</f>
        <v>1883145.20547945</v>
      </c>
      <c r="D7" s="36" t="n">
        <f aca="false">ABS(C7-B7)</f>
        <v>300000</v>
      </c>
      <c r="E7" s="37" t="str">
        <f aca="false">TEXT(Inputs!$D$7,"0%")&amp;" → "&amp;TEXT(Inputs!$F$7,"0%")</f>
        <v>2% → 1%</v>
      </c>
    </row>
    <row r="8" customFormat="false" ht="15" hidden="false" customHeight="false" outlineLevel="0" collapsed="false">
      <c r="A8" s="27" t="s">
        <v>63</v>
      </c>
      <c r="B8" s="24" t="n">
        <f aca="false">12*Inputs!$E$5*(Inputs!$E$6-Inputs!$E$7)+12*Inputs!$E$5*(Inputs!$E$9-Inputs!$E$8)*Inputs!$E$11*Inputs!$E$10/365+Inputs!$D$12*12*(Inputs!$E$13-Inputs!$E$14)/60*Inputs!$E$15</f>
        <v>1504745.20547945</v>
      </c>
      <c r="C8" s="24" t="n">
        <f aca="false">12*Inputs!$E$5*(Inputs!$E$6-Inputs!$E$7)+12*Inputs!$E$5*(Inputs!$E$9-Inputs!$E$8)*Inputs!$E$11*Inputs!$E$10/365+Inputs!$F$12*12*(Inputs!$E$13-Inputs!$E$14)/60*Inputs!$E$15</f>
        <v>1739945.20547945</v>
      </c>
      <c r="D8" s="36" t="n">
        <f aca="false">ABS(C8-B8)</f>
        <v>235200</v>
      </c>
      <c r="E8" s="37" t="str">
        <f aca="false">TEXT(Inputs!$D$12,"#,##0")&amp;" → "&amp;TEXT(Inputs!$F$12,"#,##0")</f>
        <v>40 → 100</v>
      </c>
    </row>
    <row r="9" customFormat="false" ht="15" hidden="false" customHeight="false" outlineLevel="0" collapsed="false">
      <c r="A9" s="27" t="s">
        <v>66</v>
      </c>
      <c r="B9" s="24" t="n">
        <f aca="false">12*Inputs!$E$5*(Inputs!$E$6-Inputs!$E$7)+12*Inputs!$E$5*(Inputs!$E$9-Inputs!$E$8)*Inputs!$E$11*Inputs!$E$10/365+Inputs!$E$12*12*(Inputs!$D$13-Inputs!$E$14)/60*Inputs!$E$15</f>
        <v>1499145.20547945</v>
      </c>
      <c r="C9" s="24" t="n">
        <f aca="false">12*Inputs!$E$5*(Inputs!$E$6-Inputs!$E$7)+12*Inputs!$E$5*(Inputs!$E$9-Inputs!$E$8)*Inputs!$E$11*Inputs!$E$10/365+Inputs!$E$12*12*(Inputs!$F$13-Inputs!$E$14)/60*Inputs!$E$15</f>
        <v>1667145.20547945</v>
      </c>
      <c r="D9" s="36" t="n">
        <f aca="false">ABS(C9-B9)</f>
        <v>168000</v>
      </c>
      <c r="E9" s="37" t="str">
        <f aca="false">TEXT(Inputs!$D$13,"#,##0")&amp;" → "&amp;TEXT(Inputs!$F$13,"#,##0")</f>
        <v>30 → 50</v>
      </c>
    </row>
    <row r="10" customFormat="false" ht="15" hidden="false" customHeight="false" outlineLevel="0" collapsed="false">
      <c r="A10" s="27" t="s">
        <v>71</v>
      </c>
      <c r="B10" s="24" t="n">
        <f aca="false">12*Inputs!$E$5*(Inputs!$E$6-Inputs!$E$7)+12*Inputs!$E$5*(Inputs!$E$9-Inputs!$E$8)*Inputs!$E$11*Inputs!$E$10/365+Inputs!$E$12*12*(Inputs!$E$13-Inputs!$E$14)/60*Inputs!$D$15</f>
        <v>1515945.20547945</v>
      </c>
      <c r="C10" s="24" t="n">
        <f aca="false">12*Inputs!$E$5*(Inputs!$E$6-Inputs!$E$7)+12*Inputs!$E$5*(Inputs!$E$9-Inputs!$E$8)*Inputs!$E$11*Inputs!$E$10/365+Inputs!$E$12*12*(Inputs!$E$13-Inputs!$E$14)/60*Inputs!$F$15</f>
        <v>1650345.20547945</v>
      </c>
      <c r="D10" s="36" t="n">
        <f aca="false">ABS(C10-B10)</f>
        <v>134400</v>
      </c>
      <c r="E10" s="37" t="str">
        <f aca="false">TEXT(Inputs!$D$15,"#,##0")&amp;" → "&amp;TEXT(Inputs!$F$15,"#,##0")</f>
        <v>500 → 900</v>
      </c>
    </row>
    <row r="11" customFormat="false" ht="15" hidden="false" customHeight="false" outlineLevel="0" collapsed="false">
      <c r="A11" s="27" t="s">
        <v>57</v>
      </c>
      <c r="B11" s="24" t="n">
        <f aca="false">12*Inputs!$E$5*(Inputs!$E$6-Inputs!$E$7)+12*Inputs!$E$5*(Inputs!$E$9-Inputs!$E$8)*Inputs!$E$11*Inputs!$D$10/365+Inputs!$E$12*12*(Inputs!$E$13-Inputs!$E$14)/60*Inputs!$E$15</f>
        <v>1509172.60273973</v>
      </c>
      <c r="C11" s="24" t="n">
        <f aca="false">12*Inputs!$E$5*(Inputs!$E$6-Inputs!$E$7)+12*Inputs!$E$5*(Inputs!$E$9-Inputs!$E$8)*Inputs!$E$11*Inputs!$F$10/365+Inputs!$E$12*12*(Inputs!$E$13-Inputs!$E$14)/60*Inputs!$E$15</f>
        <v>1620131.50684931</v>
      </c>
      <c r="D11" s="36" t="n">
        <f aca="false">ABS(C11-B11)</f>
        <v>110958.904109589</v>
      </c>
      <c r="E11" s="37" t="str">
        <f aca="false">TEXT(Inputs!$D$10,"#,##0")&amp;" → "&amp;TEXT(Inputs!$F$10,"#,##0")</f>
        <v>30 → 75</v>
      </c>
    </row>
    <row r="12" customFormat="false" ht="15" hidden="false" customHeight="false" outlineLevel="0" collapsed="false">
      <c r="A12" s="27" t="s">
        <v>55</v>
      </c>
      <c r="B12" s="24" t="n">
        <f aca="false">12*Inputs!$E$5*(Inputs!$E$6-Inputs!$E$7)+12*Inputs!$E$5*(Inputs!$D$9-Inputs!$E$8)*Inputs!$E$11*Inputs!$E$10/365+Inputs!$E$12*12*(Inputs!$E$13-Inputs!$E$14)/60*Inputs!$E$15</f>
        <v>1523967.12328767</v>
      </c>
      <c r="C12" s="24" t="n">
        <f aca="false">12*Inputs!$E$5*(Inputs!$E$6-Inputs!$E$7)+12*Inputs!$E$5*(Inputs!$F$9-Inputs!$E$8)*Inputs!$E$11*Inputs!$E$10/365+Inputs!$E$12*12*(Inputs!$E$13-Inputs!$E$14)/60*Inputs!$E$15</f>
        <v>1612734.24657534</v>
      </c>
      <c r="D12" s="36" t="n">
        <f aca="false">ABS(C12-B12)</f>
        <v>88767.1232876713</v>
      </c>
      <c r="E12" s="37" t="str">
        <f aca="false">TEXT(Inputs!$D$9,"0%")&amp;" → "&amp;TEXT(Inputs!$F$9,"0%")</f>
        <v>70% → 85%</v>
      </c>
    </row>
    <row r="13" customFormat="false" ht="15" hidden="false" customHeight="false" outlineLevel="0" collapsed="false">
      <c r="A13" s="27" t="s">
        <v>69</v>
      </c>
      <c r="B13" s="24" t="n">
        <f aca="false">12*Inputs!$E$5*(Inputs!$E$6-Inputs!$E$7)+12*Inputs!$E$5*(Inputs!$E$9-Inputs!$E$8)*Inputs!$E$11*Inputs!$E$10/365+Inputs!$E$12*12*(Inputs!$E$13-Inputs!$D$14)/60*Inputs!$E$15</f>
        <v>1532745.20547945</v>
      </c>
      <c r="C13" s="24" t="n">
        <f aca="false">12*Inputs!$E$5*(Inputs!$E$6-Inputs!$E$7)+12*Inputs!$E$5*(Inputs!$E$9-Inputs!$E$8)*Inputs!$E$11*Inputs!$E$10/365+Inputs!$E$12*12*(Inputs!$E$13-Inputs!$F$14)/60*Inputs!$E$15</f>
        <v>1599945.20547945</v>
      </c>
      <c r="D13" s="36" t="n">
        <f aca="false">ABS(C13-B13)</f>
        <v>67200</v>
      </c>
      <c r="E13" s="37" t="str">
        <f aca="false">TEXT(Inputs!$D$14,"#,##0")&amp;" → "&amp;TEXT(Inputs!$F$14,"#,##0")</f>
        <v>18 → 10</v>
      </c>
    </row>
    <row r="14" customFormat="false" ht="15" hidden="false" customHeight="false" outlineLevel="0" collapsed="false">
      <c r="A14" s="27" t="s">
        <v>53</v>
      </c>
      <c r="B14" s="24" t="n">
        <f aca="false">12*Inputs!$E$5*(Inputs!$E$6-Inputs!$E$7)+12*Inputs!$E$5*(Inputs!$E$9-Inputs!$D$8)*Inputs!$E$11*Inputs!$E$10/365+Inputs!$E$12*12*(Inputs!$E$13-Inputs!$E$14)/60*Inputs!$E$15</f>
        <v>1553556.16438356</v>
      </c>
      <c r="C14" s="24" t="n">
        <f aca="false">12*Inputs!$E$5*(Inputs!$E$6-Inputs!$E$7)+12*Inputs!$E$5*(Inputs!$E$9-Inputs!$F$8)*Inputs!$E$11*Inputs!$E$10/365+Inputs!$E$12*12*(Inputs!$E$13-Inputs!$E$14)/60*Inputs!$E$15</f>
        <v>1612734.24657534</v>
      </c>
      <c r="D14" s="36" t="n">
        <f aca="false">ABS(C14-B14)</f>
        <v>59178.0821917809</v>
      </c>
      <c r="E14" s="37" t="str">
        <f aca="false">TEXT(Inputs!$D$8,"0%")&amp;" → "&amp;TEXT(Inputs!$F$8,"0%")</f>
        <v>60% → 50%</v>
      </c>
    </row>
    <row r="15" customFormat="false" ht="15" hidden="false" customHeight="false" outlineLevel="0" collapsed="false">
      <c r="A15" s="27" t="s">
        <v>60</v>
      </c>
      <c r="B15" s="24" t="n">
        <f aca="false">12*Inputs!$E$5*(Inputs!$E$6-Inputs!$E$7)+12*Inputs!$E$5*(Inputs!$E$9-Inputs!$E$8)*Inputs!$D$11*Inputs!$E$10/365+Inputs!$E$12*12*(Inputs!$E$13-Inputs!$E$14)/60*Inputs!$E$15</f>
        <v>1558487.67123288</v>
      </c>
      <c r="C15" s="24" t="n">
        <f aca="false">12*Inputs!$E$5*(Inputs!$E$6-Inputs!$E$7)+12*Inputs!$E$5*(Inputs!$E$9-Inputs!$E$8)*Inputs!$F$11*Inputs!$E$10/365+Inputs!$E$12*12*(Inputs!$E$13-Inputs!$E$14)/60*Inputs!$E$15</f>
        <v>1607802.73972603</v>
      </c>
      <c r="D15" s="36" t="n">
        <f aca="false">ABS(C15-B15)</f>
        <v>49315.0684931509</v>
      </c>
      <c r="E15" s="37" t="str">
        <f aca="false">TEXT(Inputs!$D$11,"0%")&amp;" → "&amp;TEXT(Inputs!$F$11,"0%")</f>
        <v>10% → 14%</v>
      </c>
    </row>
    <row r="17" customFormat="false" ht="15" hidden="false" customHeight="false" outlineLevel="0" collapsed="false">
      <c r="A17" s="12" t="s">
        <v>116</v>
      </c>
      <c r="B17" s="38" t="n">
        <f aca="false">12*Inputs!$E$5*(Inputs!$E$6-Inputs!$E$7)+12*Inputs!$E$5*(Inputs!$E$9-Inputs!$E$8)*Inputs!$E$11*Inputs!$E$10/365+Inputs!$E$12*12*(Inputs!$E$13-Inputs!$E$14)/60*Inputs!$E$15</f>
        <v>1583145.20547945</v>
      </c>
    </row>
    <row r="18" customFormat="false" ht="15" hidden="false" customHeight="false" outlineLevel="0" collapsed="false">
      <c r="A18" s="1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44"/>
  </cols>
  <sheetData>
    <row r="1" customFormat="false" ht="18.5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14" t="s">
        <v>81</v>
      </c>
      <c r="B4" s="14" t="s">
        <v>41</v>
      </c>
      <c r="C4" s="14" t="s">
        <v>42</v>
      </c>
      <c r="D4" s="14" t="s">
        <v>43</v>
      </c>
      <c r="E4" s="14" t="s">
        <v>82</v>
      </c>
    </row>
    <row r="5" customFormat="false" ht="15" hidden="false" customHeight="false" outlineLevel="0" collapsed="false">
      <c r="A5" s="27" t="s">
        <v>120</v>
      </c>
      <c r="B5" s="39" t="n">
        <f aca="false">Inputs!$D$17</f>
        <v>60</v>
      </c>
      <c r="C5" s="39" t="n">
        <f aca="false">Inputs!$E$17</f>
        <v>150</v>
      </c>
      <c r="D5" s="39" t="n">
        <f aca="false">Inputs!$F$17</f>
        <v>300</v>
      </c>
      <c r="E5" s="25" t="s">
        <v>121</v>
      </c>
    </row>
    <row r="6" customFormat="false" ht="15" hidden="false" customHeight="false" outlineLevel="0" collapsed="false">
      <c r="A6" s="27" t="s">
        <v>122</v>
      </c>
      <c r="B6" s="24" t="n">
        <f aca="false">B5*'One customer'!B11</f>
        <v>10671780.8219178</v>
      </c>
      <c r="C6" s="24" t="n">
        <f aca="false">C5*'One customer'!C11</f>
        <v>237471780.821918</v>
      </c>
      <c r="D6" s="24" t="n">
        <f aca="false">D5*'One customer'!D11</f>
        <v>2017232876.71233</v>
      </c>
      <c r="E6" s="25" t="s">
        <v>123</v>
      </c>
    </row>
    <row r="7" customFormat="false" ht="15" hidden="false" customHeight="false" outlineLevel="0" collapsed="false">
      <c r="A7" s="27" t="s">
        <v>124</v>
      </c>
      <c r="B7" s="24" t="n">
        <f aca="false">B5*'One customer'!B14</f>
        <v>12000000</v>
      </c>
      <c r="C7" s="24" t="n">
        <f aca="false">C5*'One customer'!C14</f>
        <v>30000000</v>
      </c>
      <c r="D7" s="24" t="n">
        <f aca="false">D5*'One customer'!D14</f>
        <v>60000000</v>
      </c>
      <c r="E7" s="25" t="s">
        <v>125</v>
      </c>
    </row>
    <row r="8" customFormat="false" ht="15" hidden="false" customHeight="false" outlineLevel="0" collapsed="false">
      <c r="A8" s="27" t="s">
        <v>126</v>
      </c>
      <c r="B8" s="40" t="n">
        <f aca="false">B7/10000000</f>
        <v>1.2</v>
      </c>
      <c r="C8" s="40" t="n">
        <f aca="false">C7/10000000</f>
        <v>3</v>
      </c>
      <c r="D8" s="40" t="n">
        <f aca="false">D7/10000000</f>
        <v>6</v>
      </c>
      <c r="E8" s="25" t="s">
        <v>127</v>
      </c>
    </row>
    <row r="9" customFormat="false" ht="15" hidden="false" customHeight="false" outlineLevel="0" collapsed="false">
      <c r="A9" s="27" t="s">
        <v>128</v>
      </c>
      <c r="B9" s="24" t="n">
        <f aca="false">B5*'One customer'!B17</f>
        <v>92389.9392</v>
      </c>
      <c r="C9" s="24" t="n">
        <f aca="false">C5*'One customer'!C17</f>
        <v>53301.888</v>
      </c>
      <c r="D9" s="24" t="n">
        <f aca="false">D5*'One customer'!D17</f>
        <v>106603.776</v>
      </c>
      <c r="E9" s="25" t="s">
        <v>129</v>
      </c>
    </row>
    <row r="10" customFormat="false" ht="15" hidden="false" customHeight="false" outlineLevel="0" collapsed="false">
      <c r="A10" s="27" t="s">
        <v>130</v>
      </c>
      <c r="B10" s="35" t="n">
        <f aca="false">IF(B7=0,0,B9/B7)</f>
        <v>0.0076991616</v>
      </c>
      <c r="C10" s="35" t="n">
        <f aca="false">IF(C7=0,0,C9/C7)</f>
        <v>0.0017767296</v>
      </c>
      <c r="D10" s="35" t="n">
        <f aca="false">IF(D7=0,0,D9/D7)</f>
        <v>0.0017767296</v>
      </c>
      <c r="E10" s="25" t="s">
        <v>131</v>
      </c>
    </row>
    <row r="12" customFormat="false" ht="15" hidden="false" customHeight="false" outlineLevel="0" collapsed="false">
      <c r="A12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6" min="5" style="0" width="20"/>
  </cols>
  <sheetData>
    <row r="1" customFormat="false" ht="18.5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133</v>
      </c>
    </row>
    <row r="4" customFormat="false" ht="23.85" hidden="false" customHeight="false" outlineLevel="0" collapsed="false">
      <c r="A4" s="14" t="s">
        <v>134</v>
      </c>
      <c r="B4" s="14" t="s">
        <v>135</v>
      </c>
      <c r="C4" s="14" t="s">
        <v>136</v>
      </c>
      <c r="D4" s="14" t="s">
        <v>137</v>
      </c>
    </row>
    <row r="5" customFormat="false" ht="15" hidden="false" customHeight="false" outlineLevel="0" collapsed="false">
      <c r="A5" s="27" t="s">
        <v>138</v>
      </c>
      <c r="B5" s="41" t="n">
        <v>0.1</v>
      </c>
      <c r="C5" s="41" t="n">
        <v>0.5</v>
      </c>
      <c r="D5" s="4" t="s">
        <v>139</v>
      </c>
    </row>
    <row r="6" customFormat="false" ht="15" hidden="false" customHeight="false" outlineLevel="0" collapsed="false">
      <c r="A6" s="27" t="s">
        <v>140</v>
      </c>
      <c r="B6" s="41" t="n">
        <v>2</v>
      </c>
      <c r="C6" s="41" t="n">
        <v>10</v>
      </c>
      <c r="D6" s="4" t="s">
        <v>141</v>
      </c>
    </row>
    <row r="7" customFormat="false" ht="15" hidden="false" customHeight="false" outlineLevel="0" collapsed="false">
      <c r="A7" s="27" t="s">
        <v>142</v>
      </c>
      <c r="B7" s="41" t="n">
        <v>1</v>
      </c>
      <c r="C7" s="41" t="n">
        <v>5</v>
      </c>
      <c r="D7" s="4" t="s">
        <v>143</v>
      </c>
    </row>
    <row r="8" customFormat="false" ht="15" hidden="false" customHeight="false" outlineLevel="0" collapsed="false">
      <c r="A8" s="27" t="s">
        <v>144</v>
      </c>
      <c r="B8" s="41" t="n">
        <v>3</v>
      </c>
      <c r="C8" s="41" t="n">
        <v>15</v>
      </c>
      <c r="D8" s="4" t="s">
        <v>145</v>
      </c>
    </row>
    <row r="9" customFormat="false" ht="15" hidden="false" customHeight="false" outlineLevel="0" collapsed="false">
      <c r="A9" s="13" t="s">
        <v>146</v>
      </c>
    </row>
    <row r="11" customFormat="false" ht="15" hidden="false" customHeight="false" outlineLevel="0" collapsed="false">
      <c r="A11" s="12" t="s">
        <v>147</v>
      </c>
      <c r="B11" s="42" t="n">
        <v>97</v>
      </c>
      <c r="C11" s="13" t="s">
        <v>148</v>
      </c>
    </row>
    <row r="12" customFormat="false" ht="15" hidden="false" customHeight="false" outlineLevel="0" collapsed="false">
      <c r="A12" s="12" t="s">
        <v>149</v>
      </c>
      <c r="B12" s="43" t="n">
        <v>0.1</v>
      </c>
      <c r="C12" s="13" t="s">
        <v>150</v>
      </c>
    </row>
    <row r="14" customFormat="false" ht="23.85" hidden="false" customHeight="false" outlineLevel="0" collapsed="false">
      <c r="A14" s="14" t="s">
        <v>151</v>
      </c>
      <c r="B14" s="14" t="s">
        <v>152</v>
      </c>
      <c r="C14" s="14" t="s">
        <v>153</v>
      </c>
      <c r="D14" s="14" t="s">
        <v>154</v>
      </c>
      <c r="E14" s="14" t="s">
        <v>155</v>
      </c>
      <c r="F14" s="14" t="s">
        <v>156</v>
      </c>
    </row>
    <row r="15" customFormat="false" ht="15" hidden="false" customHeight="false" outlineLevel="0" collapsed="false">
      <c r="A15" s="27" t="s">
        <v>157</v>
      </c>
      <c r="B15" s="44" t="n">
        <v>1430</v>
      </c>
      <c r="C15" s="44" t="n">
        <v>270</v>
      </c>
      <c r="D15" s="44" t="n">
        <v>2</v>
      </c>
      <c r="E15" s="26" t="n">
        <f aca="false">B15*D15</f>
        <v>2860</v>
      </c>
      <c r="F15" s="26" t="n">
        <f aca="false">C15*D15</f>
        <v>540</v>
      </c>
    </row>
    <row r="16" customFormat="false" ht="15" hidden="false" customHeight="false" outlineLevel="0" collapsed="false">
      <c r="A16" s="27" t="s">
        <v>158</v>
      </c>
      <c r="B16" s="44" t="n">
        <v>500</v>
      </c>
      <c r="C16" s="44" t="n">
        <v>190</v>
      </c>
      <c r="D16" s="44" t="n">
        <v>3</v>
      </c>
      <c r="E16" s="26" t="n">
        <f aca="false">B16*D16</f>
        <v>1500</v>
      </c>
      <c r="F16" s="26" t="n">
        <f aca="false">C16*D16</f>
        <v>570</v>
      </c>
    </row>
    <row r="17" customFormat="false" ht="15" hidden="false" customHeight="false" outlineLevel="0" collapsed="false">
      <c r="A17" s="27" t="s">
        <v>159</v>
      </c>
      <c r="B17" s="44" t="n">
        <v>1150</v>
      </c>
      <c r="C17" s="44" t="n">
        <v>140</v>
      </c>
      <c r="D17" s="44" t="n">
        <v>3</v>
      </c>
      <c r="E17" s="26" t="n">
        <f aca="false">B17*D17</f>
        <v>3450</v>
      </c>
      <c r="F17" s="26" t="n">
        <f aca="false">C17*D17</f>
        <v>420</v>
      </c>
    </row>
    <row r="18" customFormat="false" ht="15" hidden="false" customHeight="false" outlineLevel="0" collapsed="false">
      <c r="A18" s="27" t="s">
        <v>160</v>
      </c>
      <c r="B18" s="44" t="n">
        <v>1000</v>
      </c>
      <c r="C18" s="44" t="n">
        <v>100</v>
      </c>
      <c r="D18" s="44" t="n">
        <v>1</v>
      </c>
      <c r="E18" s="26" t="n">
        <f aca="false">B18*D18</f>
        <v>1000</v>
      </c>
      <c r="F18" s="26" t="n">
        <f aca="false">C18*D18</f>
        <v>100</v>
      </c>
    </row>
    <row r="19" customFormat="false" ht="15" hidden="false" customHeight="false" outlineLevel="0" collapsed="false">
      <c r="A19" s="12" t="s">
        <v>161</v>
      </c>
      <c r="E19" s="45" t="n">
        <f aca="false">SUM(E15:E18)</f>
        <v>8810</v>
      </c>
      <c r="F19" s="45" t="n">
        <f aca="false">SUM(F15:F18)</f>
        <v>1630</v>
      </c>
    </row>
    <row r="20" customFormat="false" ht="15" hidden="false" customHeight="false" outlineLevel="0" collapsed="false">
      <c r="A20" s="13" t="s">
        <v>162</v>
      </c>
    </row>
    <row r="22" customFormat="false" ht="23.85" hidden="false" customHeight="false" outlineLevel="0" collapsed="false">
      <c r="A22" s="14" t="s">
        <v>163</v>
      </c>
      <c r="B22" s="14" t="s">
        <v>164</v>
      </c>
      <c r="C22" s="14" t="s">
        <v>165</v>
      </c>
      <c r="D22" s="14" t="s">
        <v>82</v>
      </c>
    </row>
    <row r="23" customFormat="false" ht="22.35" hidden="false" customHeight="false" outlineLevel="0" collapsed="false">
      <c r="A23" s="16" t="s">
        <v>166</v>
      </c>
      <c r="B23" s="46" t="n">
        <f aca="false">(B15*B5+C15*C5)/1000000*$B$11</f>
        <v>0.026966</v>
      </c>
      <c r="C23" s="46" t="n">
        <f aca="false">(B15*B7+C15*C7)/1000000*$B$11</f>
        <v>0.26966</v>
      </c>
      <c r="D23" s="19" t="s">
        <v>167</v>
      </c>
    </row>
    <row r="24" customFormat="false" ht="32.8" hidden="false" customHeight="false" outlineLevel="0" collapsed="false">
      <c r="A24" s="16" t="s">
        <v>168</v>
      </c>
      <c r="B24" s="47" t="n">
        <f aca="false">((E19*B5+F19*C5)+$B$12*(E19*B6+F19*C6))/1000000*$B$11</f>
        <v>0.493536</v>
      </c>
      <c r="C24" s="46" t="n">
        <f aca="false">((E19*B7+F19*C7)+$B$12*(E19*B8+F19*C8))/1000000*$B$11</f>
        <v>2.138656</v>
      </c>
      <c r="D24" s="19" t="s">
        <v>169</v>
      </c>
    </row>
    <row r="25" customFormat="false" ht="15" hidden="false" customHeight="false" outlineLevel="0" collapsed="false">
      <c r="A25" s="16" t="s">
        <v>170</v>
      </c>
      <c r="B25" s="48" t="n">
        <f aca="false">Inputs!$E$12*12</f>
        <v>720</v>
      </c>
      <c r="C25" s="48" t="n">
        <f aca="false">Inputs!$E$12*12</f>
        <v>720</v>
      </c>
      <c r="D25" s="19" t="s">
        <v>171</v>
      </c>
    </row>
    <row r="26" customFormat="false" ht="22.35" hidden="false" customHeight="false" outlineLevel="0" collapsed="false">
      <c r="A26" s="16" t="s">
        <v>172</v>
      </c>
      <c r="B26" s="49" t="n">
        <f aca="false">B24*B25</f>
        <v>355.34592</v>
      </c>
      <c r="C26" s="49" t="n">
        <f aca="false">C24*C25</f>
        <v>1539.83232</v>
      </c>
      <c r="D26" s="19" t="s">
        <v>173</v>
      </c>
    </row>
    <row r="27" customFormat="false" ht="22.35" hidden="false" customHeight="false" outlineLevel="0" collapsed="false">
      <c r="A27" s="16" t="s">
        <v>9</v>
      </c>
      <c r="B27" s="50" t="n">
        <f aca="false">B26/Inputs!$E$16</f>
        <v>0.0017767296</v>
      </c>
      <c r="C27" s="50" t="n">
        <f aca="false">C26/Inputs!$E$16</f>
        <v>0.0076991616</v>
      </c>
      <c r="D27" s="1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8.5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23.85" hidden="false" customHeight="false" outlineLevel="0" collapsed="false">
      <c r="A4" s="14" t="s">
        <v>177</v>
      </c>
      <c r="B4" s="14" t="s">
        <v>178</v>
      </c>
      <c r="C4" s="14" t="s">
        <v>179</v>
      </c>
      <c r="D4" s="14" t="s">
        <v>180</v>
      </c>
    </row>
    <row r="5" customFormat="false" ht="15" hidden="false" customHeight="false" outlineLevel="0" collapsed="false">
      <c r="A5" s="27" t="s">
        <v>181</v>
      </c>
      <c r="B5" s="51" t="n">
        <v>2340396</v>
      </c>
      <c r="C5" s="51" t="n">
        <v>2340396</v>
      </c>
      <c r="D5" s="25" t="s">
        <v>182</v>
      </c>
    </row>
    <row r="6" customFormat="false" ht="15" hidden="false" customHeight="false" outlineLevel="0" collapsed="false">
      <c r="A6" s="27" t="s">
        <v>183</v>
      </c>
      <c r="B6" s="51" t="n">
        <v>2236716</v>
      </c>
      <c r="C6" s="51" t="n">
        <v>642366</v>
      </c>
      <c r="D6" s="25" t="s">
        <v>184</v>
      </c>
    </row>
    <row r="7" customFormat="false" ht="15" hidden="false" customHeight="false" outlineLevel="0" collapsed="false">
      <c r="A7" s="27" t="s">
        <v>185</v>
      </c>
      <c r="B7" s="51" t="n">
        <v>0</v>
      </c>
      <c r="C7" s="51" t="n">
        <v>625500</v>
      </c>
      <c r="D7" s="25" t="s">
        <v>186</v>
      </c>
    </row>
    <row r="8" customFormat="false" ht="15" hidden="false" customHeight="false" outlineLevel="0" collapsed="false">
      <c r="A8" s="27" t="s">
        <v>187</v>
      </c>
      <c r="B8" s="51" t="n">
        <v>90000</v>
      </c>
      <c r="C8" s="51" t="n">
        <v>1072530</v>
      </c>
      <c r="D8" s="25" t="s">
        <v>188</v>
      </c>
    </row>
    <row r="9" customFormat="false" ht="15" hidden="false" customHeight="false" outlineLevel="0" collapsed="false">
      <c r="A9" s="27" t="s">
        <v>189</v>
      </c>
      <c r="B9" s="51" t="n">
        <v>13680</v>
      </c>
      <c r="C9" s="51" t="n">
        <v>0</v>
      </c>
      <c r="D9" s="25" t="s">
        <v>190</v>
      </c>
    </row>
    <row r="11" customFormat="false" ht="15" hidden="false" customHeight="false" outlineLevel="0" collapsed="false">
      <c r="A11" s="27" t="s">
        <v>191</v>
      </c>
      <c r="B11" s="52" t="str">
        <f aca="false">IF(SUM(B6:B9)=B5,"Yes","No")</f>
        <v>Yes</v>
      </c>
      <c r="C11" s="52" t="str">
        <f aca="false">IF(SUM(C6:C9)=C5,"Yes","No")</f>
        <v>Yes</v>
      </c>
    </row>
    <row r="12" customFormat="false" ht="15" hidden="false" customHeight="false" outlineLevel="0" collapsed="false">
      <c r="A12" s="27" t="s">
        <v>192</v>
      </c>
      <c r="B12" s="24" t="n">
        <f aca="false">B5-13680</f>
        <v>2326716</v>
      </c>
      <c r="C12" s="24" t="n">
        <f aca="false">C5-13680</f>
        <v>2326716</v>
      </c>
    </row>
    <row r="13" customFormat="false" ht="15" hidden="false" customHeight="false" outlineLevel="0" collapsed="false">
      <c r="A13" s="27" t="s">
        <v>193</v>
      </c>
      <c r="B13" s="53" t="n">
        <f aca="false">B6/B12</f>
        <v>0.961318871748851</v>
      </c>
      <c r="C13" s="53" t="n">
        <f aca="false">C6/C12</f>
        <v>0.27608268477975</v>
      </c>
    </row>
    <row r="14" customFormat="false" ht="15" hidden="false" customHeight="false" outlineLevel="0" collapsed="false">
      <c r="A14" s="27" t="s">
        <v>194</v>
      </c>
      <c r="B14" s="53" t="n">
        <f aca="false">B7/B12</f>
        <v>0</v>
      </c>
      <c r="C14" s="53" t="n">
        <f aca="false">C7/C12</f>
        <v>0.268833841345484</v>
      </c>
    </row>
    <row r="16" customFormat="false" ht="15" hidden="false" customHeight="false" outlineLevel="0" collapsed="false">
      <c r="A16" s="13" t="s">
        <v>195</v>
      </c>
    </row>
    <row r="17" customFormat="false" ht="15" hidden="false" customHeight="false" outlineLevel="0" collapsed="false">
      <c r="A17" s="1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FE5EE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8.5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12" t="s">
        <v>199</v>
      </c>
    </row>
    <row r="5" customFormat="false" ht="15" hidden="false" customHeight="false" outlineLevel="0" collapsed="false">
      <c r="A5" s="11" t="s">
        <v>200</v>
      </c>
    </row>
    <row r="6" customFormat="false" ht="15" hidden="false" customHeight="false" outlineLevel="0" collapsed="false">
      <c r="A6" s="11" t="s">
        <v>201</v>
      </c>
    </row>
    <row r="7" customFormat="false" ht="15" hidden="false" customHeight="false" outlineLevel="0" collapsed="false">
      <c r="A7" s="11" t="s">
        <v>202</v>
      </c>
    </row>
    <row r="8" customFormat="false" ht="15" hidden="false" customHeight="false" outlineLevel="0" collapsed="false">
      <c r="A8" s="11" t="s">
        <v>203</v>
      </c>
    </row>
    <row r="10" customFormat="false" ht="15" hidden="false" customHeight="false" outlineLevel="0" collapsed="false">
      <c r="A10" s="14" t="s">
        <v>204</v>
      </c>
      <c r="B10" s="14" t="s">
        <v>205</v>
      </c>
      <c r="C10" s="14" t="s">
        <v>206</v>
      </c>
      <c r="D10" s="14" t="s">
        <v>207</v>
      </c>
      <c r="E10" s="14" t="s">
        <v>208</v>
      </c>
      <c r="F10" s="14" t="s">
        <v>209</v>
      </c>
    </row>
    <row r="11" customFormat="false" ht="15" hidden="false" customHeight="false" outlineLevel="0" collapsed="false">
      <c r="A11" s="4" t="n">
        <v>1</v>
      </c>
      <c r="B11" s="27" t="s">
        <v>210</v>
      </c>
      <c r="C11" s="4" t="s">
        <v>211</v>
      </c>
      <c r="D11" s="51" t="n">
        <v>400500</v>
      </c>
      <c r="E11" s="51" t="n">
        <v>537300</v>
      </c>
      <c r="F11" s="25" t="s">
        <v>212</v>
      </c>
    </row>
    <row r="12" customFormat="false" ht="15" hidden="false" customHeight="false" outlineLevel="0" collapsed="false">
      <c r="A12" s="4" t="n">
        <v>2</v>
      </c>
      <c r="B12" s="27" t="s">
        <v>213</v>
      </c>
      <c r="C12" s="4" t="s">
        <v>211</v>
      </c>
      <c r="D12" s="51" t="n">
        <v>124200</v>
      </c>
      <c r="E12" s="51" t="n">
        <v>202500</v>
      </c>
      <c r="F12" s="25" t="s">
        <v>214</v>
      </c>
    </row>
    <row r="13" customFormat="false" ht="15" hidden="false" customHeight="false" outlineLevel="0" collapsed="false">
      <c r="A13" s="4" t="n">
        <v>3</v>
      </c>
      <c r="B13" s="27" t="s">
        <v>215</v>
      </c>
      <c r="C13" s="4" t="s">
        <v>211</v>
      </c>
      <c r="D13" s="51" t="n">
        <v>100800</v>
      </c>
      <c r="E13" s="51" t="n">
        <v>158400</v>
      </c>
      <c r="F13" s="25" t="s">
        <v>214</v>
      </c>
    </row>
    <row r="14" customFormat="false" ht="15" hidden="false" customHeight="false" outlineLevel="0" collapsed="false">
      <c r="A14" s="4" t="n">
        <v>4</v>
      </c>
      <c r="B14" s="27" t="s">
        <v>216</v>
      </c>
      <c r="C14" s="4" t="s">
        <v>211</v>
      </c>
      <c r="D14" s="51" t="n">
        <v>0</v>
      </c>
      <c r="E14" s="51" t="n">
        <v>427500</v>
      </c>
      <c r="F14" s="25" t="s">
        <v>217</v>
      </c>
    </row>
    <row r="15" customFormat="false" ht="15" hidden="false" customHeight="false" outlineLevel="0" collapsed="false">
      <c r="A15" s="4" t="n">
        <v>5</v>
      </c>
      <c r="B15" s="27" t="s">
        <v>218</v>
      </c>
      <c r="C15" s="4" t="s">
        <v>219</v>
      </c>
      <c r="D15" s="51" t="n">
        <v>0</v>
      </c>
      <c r="E15" s="51" t="n">
        <v>226800</v>
      </c>
      <c r="F15" s="25" t="s">
        <v>220</v>
      </c>
    </row>
    <row r="16" customFormat="false" ht="15" hidden="false" customHeight="false" outlineLevel="0" collapsed="false">
      <c r="A16" s="4" t="n">
        <v>6</v>
      </c>
      <c r="B16" s="27" t="s">
        <v>221</v>
      </c>
      <c r="C16" s="4" t="s">
        <v>211</v>
      </c>
      <c r="D16" s="51" t="n">
        <v>0</v>
      </c>
      <c r="E16" s="51" t="n">
        <v>86400</v>
      </c>
      <c r="F16" s="25" t="s">
        <v>222</v>
      </c>
    </row>
    <row r="17" customFormat="false" ht="15" hidden="false" customHeight="false" outlineLevel="0" collapsed="false">
      <c r="A17" s="4" t="n">
        <v>7</v>
      </c>
      <c r="B17" s="27" t="s">
        <v>223</v>
      </c>
      <c r="C17" s="4" t="s">
        <v>224</v>
      </c>
      <c r="D17" s="51" t="n">
        <v>0</v>
      </c>
      <c r="E17" s="51" t="n">
        <v>59400</v>
      </c>
      <c r="F17" s="25" t="s">
        <v>225</v>
      </c>
    </row>
    <row r="18" customFormat="false" ht="15" hidden="false" customHeight="false" outlineLevel="0" collapsed="false">
      <c r="A18" s="4" t="n">
        <v>8</v>
      </c>
      <c r="B18" s="27" t="s">
        <v>226</v>
      </c>
      <c r="C18" s="4" t="s">
        <v>211</v>
      </c>
      <c r="D18" s="51" t="n">
        <v>0</v>
      </c>
      <c r="E18" s="51" t="n">
        <v>54900</v>
      </c>
      <c r="F18" s="25" t="s">
        <v>227</v>
      </c>
    </row>
    <row r="19" customFormat="false" ht="15" hidden="false" customHeight="false" outlineLevel="0" collapsed="false">
      <c r="A19" s="4" t="n">
        <v>9</v>
      </c>
      <c r="B19" s="27" t="s">
        <v>228</v>
      </c>
      <c r="C19" s="4" t="s">
        <v>211</v>
      </c>
      <c r="D19" s="51" t="n">
        <v>0</v>
      </c>
      <c r="E19" s="51" t="n">
        <v>38970</v>
      </c>
      <c r="F19" s="25" t="s">
        <v>229</v>
      </c>
    </row>
    <row r="20" customFormat="false" ht="15" hidden="false" customHeight="false" outlineLevel="0" collapsed="false">
      <c r="A20" s="4" t="n">
        <v>10</v>
      </c>
      <c r="B20" s="27" t="s">
        <v>230</v>
      </c>
      <c r="C20" s="4" t="s">
        <v>219</v>
      </c>
      <c r="D20" s="51" t="n">
        <v>0</v>
      </c>
      <c r="E20" s="51" t="n">
        <v>3330</v>
      </c>
      <c r="F20" s="25" t="s">
        <v>220</v>
      </c>
    </row>
    <row r="21" customFormat="false" ht="15" hidden="false" customHeight="false" outlineLevel="0" collapsed="false">
      <c r="A21" s="4" t="n">
        <v>11</v>
      </c>
      <c r="B21" s="27" t="s">
        <v>231</v>
      </c>
      <c r="C21" s="4" t="s">
        <v>211</v>
      </c>
      <c r="D21" s="51" t="n">
        <v>0</v>
      </c>
      <c r="E21" s="51" t="n">
        <v>2520</v>
      </c>
      <c r="F21" s="25" t="s">
        <v>232</v>
      </c>
    </row>
    <row r="22" customFormat="false" ht="15" hidden="false" customHeight="false" outlineLevel="0" collapsed="false">
      <c r="A22" s="4" t="n">
        <v>12</v>
      </c>
      <c r="B22" s="27" t="s">
        <v>233</v>
      </c>
      <c r="C22" s="4" t="s">
        <v>234</v>
      </c>
      <c r="D22" s="51" t="n">
        <v>0</v>
      </c>
      <c r="E22" s="51" t="n">
        <v>3060</v>
      </c>
      <c r="F22" s="25" t="s">
        <v>235</v>
      </c>
    </row>
    <row r="23" customFormat="false" ht="15" hidden="false" customHeight="false" outlineLevel="0" collapsed="false">
      <c r="A23" s="4" t="n">
        <v>13</v>
      </c>
      <c r="B23" s="27" t="s">
        <v>236</v>
      </c>
      <c r="C23" s="4" t="s">
        <v>237</v>
      </c>
      <c r="D23" s="51" t="n">
        <v>0</v>
      </c>
      <c r="E23" s="51" t="n">
        <v>78300</v>
      </c>
      <c r="F23" s="25" t="s">
        <v>238</v>
      </c>
    </row>
    <row r="24" customFormat="false" ht="15" hidden="false" customHeight="false" outlineLevel="0" collapsed="false">
      <c r="A24" s="4" t="n">
        <v>14</v>
      </c>
      <c r="B24" s="27" t="s">
        <v>239</v>
      </c>
      <c r="C24" s="4" t="s">
        <v>237</v>
      </c>
      <c r="D24" s="51" t="n">
        <v>0</v>
      </c>
      <c r="E24" s="51" t="n">
        <v>72216</v>
      </c>
      <c r="F24" s="25" t="s">
        <v>240</v>
      </c>
    </row>
    <row r="25" customFormat="false" ht="15" hidden="false" customHeight="false" outlineLevel="0" collapsed="false">
      <c r="A25" s="4" t="n">
        <v>15</v>
      </c>
      <c r="B25" s="27" t="s">
        <v>241</v>
      </c>
      <c r="C25" s="4" t="s">
        <v>237</v>
      </c>
      <c r="D25" s="51" t="n">
        <v>0</v>
      </c>
      <c r="E25" s="51" t="n">
        <v>3600</v>
      </c>
      <c r="F25" s="25" t="s">
        <v>240</v>
      </c>
    </row>
    <row r="26" customFormat="false" ht="15" hidden="false" customHeight="false" outlineLevel="0" collapsed="false">
      <c r="A26" s="4" t="n">
        <v>16</v>
      </c>
      <c r="B26" s="27" t="s">
        <v>242</v>
      </c>
      <c r="C26" s="4" t="s">
        <v>243</v>
      </c>
      <c r="D26" s="51" t="n">
        <v>0</v>
      </c>
      <c r="E26" s="51" t="n">
        <v>333000</v>
      </c>
      <c r="F26" s="25" t="s">
        <v>244</v>
      </c>
    </row>
    <row r="27" customFormat="false" ht="15" hidden="false" customHeight="false" outlineLevel="0" collapsed="false">
      <c r="B27" s="12" t="s">
        <v>245</v>
      </c>
      <c r="D27" s="54" t="n">
        <f aca="false">SUM(D11:D26)</f>
        <v>625500</v>
      </c>
      <c r="E27" s="54" t="n">
        <f aca="false">SUM(E11:E26)</f>
        <v>2288196</v>
      </c>
    </row>
    <row r="28" customFormat="false" ht="15" hidden="false" customHeight="false" outlineLevel="0" collapsed="false">
      <c r="B28" s="12" t="s">
        <v>246</v>
      </c>
      <c r="E28" s="54" t="n">
        <f aca="false">SUM(E11:E21)</f>
        <v>1798020</v>
      </c>
    </row>
    <row r="29" customFormat="false" ht="15" hidden="false" customHeight="false" outlineLevel="0" collapsed="false">
      <c r="B29" s="13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2026-10-11T09:42:20Z</dcterms:created>
  <dc:creator>openpyxl</dc:creator>
  <dc:description/>
  <dc:language>en-US</dc:language>
  <cp:lastModifiedBy/>
  <dcterms:modified xsi:type="dcterms:W3CDTF">2026-10-11T09:42:20Z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